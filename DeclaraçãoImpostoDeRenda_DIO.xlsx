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361AEAA2-1157-4ED0-AD07-823D83EAB513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TÍTULAR" sheetId="3" r:id="rId1"/>
    <sheet name="INFORMES" sheetId="1" r:id="rId2"/>
    <sheet name="NOTAS" sheetId="4" r:id="rId3"/>
    <sheet name="Dado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D10" i="3"/>
  <c r="D14" i="3"/>
  <c r="D15" i="3"/>
  <c r="D16" i="3"/>
  <c r="D8" i="3"/>
</calcChain>
</file>

<file path=xl/sharedStrings.xml><?xml version="1.0" encoding="utf-8"?>
<sst xmlns="http://schemas.openxmlformats.org/spreadsheetml/2006/main" count="104" uniqueCount="87">
  <si>
    <t>1. Dados do Títular</t>
  </si>
  <si>
    <t>Preencha os dados da pessoa títular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</si>
  <si>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</si>
  <si>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</si>
  <si>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</si>
  <si>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</si>
  <si>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</si>
  <si>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</si>
  <si>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</si>
  <si>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</si>
  <si>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</si>
  <si>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 xml:space="preserve">Celular </t>
  </si>
  <si>
    <t>Email</t>
  </si>
  <si>
    <t>Existe Alterações da Entrega Anterior</t>
  </si>
  <si>
    <t>Não</t>
  </si>
  <si>
    <t>Dependente / Cônjuge</t>
  </si>
  <si>
    <t>Sim</t>
  </si>
  <si>
    <t>Residênte no Exteriror</t>
  </si>
  <si>
    <t>Próximo &gt;&gt;</t>
  </si>
  <si>
    <t>2. Informes De Rendimento Bancário</t>
  </si>
  <si>
    <t>Preencha os dados atuais do seu banco</t>
  </si>
  <si>
    <t>TOTAL</t>
  </si>
  <si>
    <t>1º Banco</t>
  </si>
  <si>
    <t>Banco</t>
  </si>
  <si>
    <t>1 - Banco do Brasil</t>
  </si>
  <si>
    <t>Valor Atual</t>
  </si>
  <si>
    <t>Anexo</t>
  </si>
  <si>
    <t>2º Banco</t>
  </si>
  <si>
    <t>104 - Caixa Econômica Federal</t>
  </si>
  <si>
    <t>3º Banco</t>
  </si>
  <si>
    <t>197 - Stone Pagamentos</t>
  </si>
  <si>
    <t>4º Banco</t>
  </si>
  <si>
    <t>237 - Banco Bradesco</t>
  </si>
  <si>
    <t>&lt;&lt;Anterior</t>
  </si>
  <si>
    <t>3. Notas Bancárias Ou Extratos De Holerites</t>
  </si>
  <si>
    <t>Todos os valores de entrada mês a mês receita</t>
  </si>
  <si>
    <t>Entrada</t>
  </si>
  <si>
    <t>Data</t>
  </si>
  <si>
    <t>Categoria</t>
  </si>
  <si>
    <t>Valor</t>
  </si>
  <si>
    <t>Bancos</t>
  </si>
  <si>
    <t>102 - XP Investimentos CCTVM S.A.</t>
  </si>
  <si>
    <t>119 - Banco Western Union do Brasil</t>
  </si>
  <si>
    <t>184 - Banco Itaú BBA S.A.</t>
  </si>
  <si>
    <t>208 - Banco BTG Pactual</t>
  </si>
  <si>
    <t>212 - Banco Original</t>
  </si>
  <si>
    <t>218 - Banco Bonsucesso</t>
  </si>
  <si>
    <t>229 - Banco Cruzeiro do Sul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</si>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</sst>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[$-F800]dddd\,\ mmmm\ dd\,\ yyyy"/>
  </numFmts>
  <fonts count="14">
    <font>
      <sz val="11"/>
      <color theme="1"/>
      <name val="Calibri"/>
      <family val="2"/>
      <scheme val="minor"/>
    </font>
    <font>
      <sz val="11"/>
      <color theme="1"/>
      <name val="Century Gothic"/>
    </font>
    <font>
      <sz val="14"/>
      <color rgb="FF806000"/>
      <name val="Century Gothic"/>
    </font>
    <font>
      <sz val="11"/>
      <color rgb="FF806000"/>
      <name val="Calibri"/>
      <scheme val="minor"/>
    </font>
    <font>
      <sz val="11"/>
      <color theme="2" tint="-0.749992370372631"/>
      <name val="Century Gothic"/>
    </font>
    <font>
      <b/>
      <sz val="12"/>
      <color rgb="FF000000"/>
      <name val="MS Gothic"/>
    </font>
    <font>
      <sz val="10"/>
      <color rgb="FF000000"/>
      <name val="Aptos Narrow"/>
      <charset val="1"/>
    </font>
    <font>
      <sz val="10"/>
      <color theme="1"/>
      <name val="Aptos Narrow"/>
      <charset val="1"/>
    </font>
    <font>
      <b/>
      <sz val="10"/>
      <color theme="1" tint="0.249977111117893"/>
      <name val="Aptos Narrow"/>
      <charset val="1"/>
    </font>
    <font>
      <sz val="11"/>
      <color rgb="FFBF8F00"/>
      <name val="Calibri"/>
      <scheme val="minor"/>
    </font>
    <font>
      <sz val="11"/>
      <color rgb="FFBF8F00"/>
      <name val="HGPMinchoE"/>
    </font>
    <font>
      <sz val="14"/>
      <color theme="1" tint="0.34998626667073579"/>
      <name val="HGPMinchoE"/>
    </font>
    <font>
      <sz val="11"/>
      <color theme="1" tint="0.34998626667073579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1" tint="0.34998626667073579"/>
      </bottom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 style="medium">
        <color theme="7" tint="-0.249977111117893"/>
      </left>
      <right style="dotted">
        <color theme="7" tint="0.79998168889431442"/>
      </right>
      <top style="medium">
        <color theme="7" tint="-0.249977111117893"/>
      </top>
      <bottom style="dotted">
        <color theme="7" tint="0.79998168889431442"/>
      </bottom>
      <diagonal/>
    </border>
    <border>
      <left style="dotted">
        <color theme="7" tint="0.79998168889431442"/>
      </left>
      <right style="medium">
        <color theme="7" tint="-0.249977111117893"/>
      </right>
      <top style="medium">
        <color theme="7" tint="-0.249977111117893"/>
      </top>
      <bottom style="dotted">
        <color theme="7" tint="0.79998168889431442"/>
      </bottom>
      <diagonal/>
    </border>
    <border>
      <left style="medium">
        <color theme="7" tint="-0.249977111117893"/>
      </left>
      <right style="dotted">
        <color theme="7" tint="0.79998168889431442"/>
      </right>
      <top style="dotted">
        <color theme="7" tint="0.79998168889431442"/>
      </top>
      <bottom style="dotted">
        <color theme="7" tint="0.79998168889431442"/>
      </bottom>
      <diagonal/>
    </border>
    <border>
      <left style="dotted">
        <color theme="7" tint="0.79998168889431442"/>
      </left>
      <right style="medium">
        <color theme="7" tint="-0.249977111117893"/>
      </right>
      <top style="dotted">
        <color theme="7" tint="0.79998168889431442"/>
      </top>
      <bottom style="dotted">
        <color theme="7" tint="0.79998168889431442"/>
      </bottom>
      <diagonal/>
    </border>
    <border>
      <left style="medium">
        <color theme="7" tint="-0.249977111117893"/>
      </left>
      <right style="dotted">
        <color theme="7" tint="0.79998168889431442"/>
      </right>
      <top style="dotted">
        <color theme="7" tint="0.79998168889431442"/>
      </top>
      <bottom style="medium">
        <color theme="7" tint="-0.249977111117893"/>
      </bottom>
      <diagonal/>
    </border>
    <border>
      <left style="dotted">
        <color theme="7" tint="0.79998168889431442"/>
      </left>
      <right style="medium">
        <color theme="7" tint="-0.249977111117893"/>
      </right>
      <top style="dotted">
        <color theme="7" tint="0.79998168889431442"/>
      </top>
      <bottom style="medium">
        <color theme="7" tint="-0.249977111117893"/>
      </bottom>
      <diagonal/>
    </border>
    <border>
      <left style="medium">
        <color theme="7" tint="-0.249977111117893"/>
      </left>
      <right style="dotted">
        <color theme="7" tint="0.79998168889431442"/>
      </right>
      <top/>
      <bottom style="dotted">
        <color theme="7" tint="0.79998168889431442"/>
      </bottom>
      <diagonal/>
    </border>
    <border>
      <left style="dotted">
        <color theme="7" tint="0.79998168889431442"/>
      </left>
      <right style="medium">
        <color theme="7" tint="-0.249977111117893"/>
      </right>
      <top/>
      <bottom style="dotted">
        <color theme="7" tint="0.79998168889431442"/>
      </bottom>
      <diagonal/>
    </border>
    <border>
      <left/>
      <right/>
      <top style="thick">
        <color theme="1" tint="0.34998626667073579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rgb="FF29111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1" xfId="0" applyFill="1" applyBorder="1"/>
    <xf numFmtId="0" fontId="2" fillId="5" borderId="1" xfId="0" applyFont="1" applyFill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top"/>
    </xf>
    <xf numFmtId="0" fontId="1" fillId="4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1" fillId="4" borderId="8" xfId="0" applyFont="1" applyFill="1" applyBorder="1" applyAlignment="1">
      <alignment horizontal="center" vertical="center"/>
    </xf>
    <xf numFmtId="0" fontId="7" fillId="0" borderId="0" xfId="0" applyFont="1"/>
    <xf numFmtId="164" fontId="1" fillId="4" borderId="6" xfId="0" applyNumberFormat="1" applyFont="1" applyFill="1" applyBorder="1" applyAlignment="1">
      <alignment horizontal="center" vertical="center"/>
    </xf>
    <xf numFmtId="0" fontId="9" fillId="0" borderId="0" xfId="0" applyFont="1"/>
    <xf numFmtId="0" fontId="4" fillId="0" borderId="9" xfId="0" applyFont="1" applyBorder="1" applyAlignment="1">
      <alignment vertical="top"/>
    </xf>
    <xf numFmtId="0" fontId="1" fillId="4" borderId="10" xfId="0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 applyFill="1"/>
    <xf numFmtId="0" fontId="0" fillId="0" borderId="0" xfId="0" applyFill="1"/>
    <xf numFmtId="0" fontId="0" fillId="3" borderId="0" xfId="0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13" fillId="8" borderId="0" xfId="0" applyFont="1" applyFill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8" fillId="7" borderId="12" xfId="0" applyFont="1" applyFill="1" applyBorder="1"/>
    <xf numFmtId="0" fontId="6" fillId="6" borderId="13" xfId="0" applyFont="1" applyFill="1" applyBorder="1"/>
    <xf numFmtId="0" fontId="6" fillId="6" borderId="14" xfId="0" applyFont="1" applyFill="1" applyBorder="1"/>
    <xf numFmtId="0" fontId="2" fillId="5" borderId="1" xfId="0" applyFont="1" applyFill="1" applyBorder="1" applyAlignment="1"/>
    <xf numFmtId="0" fontId="3" fillId="3" borderId="11" xfId="0" applyFont="1" applyFill="1" applyBorder="1" applyAlignment="1"/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numFmt numFmtId="164" formatCode="_-[$R$-416]\ * #,##0.00_-;\-[$R$-416]\ * #,##0.00_-;_-[$R$-416]\ * &quot;-&quot;??_-;_-@_-"/>
    </dxf>
    <dxf>
      <numFmt numFmtId="19" formatCode="dd/mm/yyyy"/>
    </dxf>
    <dxf>
      <font>
        <color theme="0"/>
      </font>
      <fill>
        <patternFill patternType="solid">
          <fgColor indexed="64"/>
          <bgColor theme="7" tint="-0.249977111117893"/>
        </patternFill>
      </fill>
      <alignment vertical="center"/>
    </dxf>
  </dxfs>
  <tableStyles count="0" defaultTableStyle="TableStyleMedium2" defaultPivotStyle="PivotStyleMedium9"/>
  <colors>
    <mruColors>
      <color rgb="FF291111"/>
      <color rgb="FFE3DD96"/>
      <color rgb="FFFFDA5E"/>
      <color rgb="FF363636"/>
      <color rgb="FF5C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161925</xdr:rowOff>
    </xdr:from>
    <xdr:to>
      <xdr:col>0</xdr:col>
      <xdr:colOff>1581150</xdr:colOff>
      <xdr:row>14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C85BA4-4BA8-4AEB-BFCB-BC27D588E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52425"/>
          <a:ext cx="1352550" cy="2524125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0</xdr:row>
      <xdr:rowOff>19050</xdr:rowOff>
    </xdr:from>
    <xdr:to>
      <xdr:col>0</xdr:col>
      <xdr:colOff>1752600</xdr:colOff>
      <xdr:row>2</xdr:row>
      <xdr:rowOff>161925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4BB56BE0-7A4B-44F6-805C-65985CBBF3F2}"/>
            </a:ext>
            <a:ext uri="{147F2762-F138-4A5C-976F-8EAC2B608ADB}">
              <a16:predDERef xmlns:a16="http://schemas.microsoft.com/office/drawing/2014/main" pred="{F5C85BA4-4BA8-4AEB-BFCB-BC27D588EFAF}"/>
            </a:ext>
          </a:extLst>
        </xdr:cNvPr>
        <xdr:cNvSpPr/>
      </xdr:nvSpPr>
      <xdr:spPr>
        <a:xfrm>
          <a:off x="142875" y="19050"/>
          <a:ext cx="1609725" cy="523875"/>
        </a:xfrm>
        <a:prstGeom prst="round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>
              <a:solidFill>
                <a:schemeClr val="accent4">
                  <a:lumMod val="60000"/>
                  <a:lumOff val="40000"/>
                </a:schemeClr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Lion Tax</a:t>
          </a:r>
        </a:p>
      </xdr:txBody>
    </xdr:sp>
    <xdr:clientData/>
  </xdr:twoCellAnchor>
  <xdr:twoCellAnchor>
    <xdr:from>
      <xdr:col>0</xdr:col>
      <xdr:colOff>104775</xdr:colOff>
      <xdr:row>15</xdr:row>
      <xdr:rowOff>142875</xdr:rowOff>
    </xdr:from>
    <xdr:to>
      <xdr:col>0</xdr:col>
      <xdr:colOff>1819275</xdr:colOff>
      <xdr:row>17</xdr:row>
      <xdr:rowOff>142875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B2B1F335-2202-47A6-ACE6-BDE40864B892}"/>
            </a:ext>
            <a:ext uri="{147F2762-F138-4A5C-976F-8EAC2B608ADB}">
              <a16:predDERef xmlns:a16="http://schemas.microsoft.com/office/drawing/2014/main" pred="{4BB56BE0-7A4B-44F6-805C-65985CBBF3F2}"/>
            </a:ext>
          </a:extLst>
        </xdr:cNvPr>
        <xdr:cNvSpPr/>
      </xdr:nvSpPr>
      <xdr:spPr>
        <a:xfrm>
          <a:off x="104775" y="3000375"/>
          <a:ext cx="1714500" cy="381000"/>
        </a:xfrm>
        <a:prstGeom prst="roundRect">
          <a:avLst/>
        </a:prstGeom>
        <a:solidFill>
          <a:srgbClr val="363636"/>
        </a:solidFill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>
              <a:solidFill>
                <a:srgbClr val="FFDA5E"/>
              </a:solidFill>
              <a:latin typeface="Century Gothic" panose="020B0502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104775</xdr:colOff>
      <xdr:row>18</xdr:row>
      <xdr:rowOff>76200</xdr:rowOff>
    </xdr:from>
    <xdr:to>
      <xdr:col>0</xdr:col>
      <xdr:colOff>1819275</xdr:colOff>
      <xdr:row>20</xdr:row>
      <xdr:rowOff>76200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9139F4E8-6733-4EAF-9CB4-E2165FCA9332}"/>
            </a:ext>
            <a:ext uri="{147F2762-F138-4A5C-976F-8EAC2B608ADB}">
              <a16:predDERef xmlns:a16="http://schemas.microsoft.com/office/drawing/2014/main" pred="{B2B1F335-2202-47A6-ACE6-BDE40864B892}"/>
            </a:ext>
          </a:extLst>
        </xdr:cNvPr>
        <xdr:cNvSpPr/>
      </xdr:nvSpPr>
      <xdr:spPr>
        <a:xfrm>
          <a:off x="104775" y="3505200"/>
          <a:ext cx="1714500" cy="38100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chemeClr val="accent4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21</xdr:row>
      <xdr:rowOff>0</xdr:rowOff>
    </xdr:from>
    <xdr:to>
      <xdr:col>0</xdr:col>
      <xdr:colOff>1809750</xdr:colOff>
      <xdr:row>23</xdr:row>
      <xdr:rowOff>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5DC0D9B5-CF46-492D-B625-C632577C82F4}"/>
            </a:ext>
            <a:ext uri="{147F2762-F138-4A5C-976F-8EAC2B608ADB}">
              <a16:predDERef xmlns:a16="http://schemas.microsoft.com/office/drawing/2014/main" pred="{9139F4E8-6733-4EAF-9CB4-E2165FCA9332}"/>
            </a:ext>
          </a:extLst>
        </xdr:cNvPr>
        <xdr:cNvSpPr/>
      </xdr:nvSpPr>
      <xdr:spPr>
        <a:xfrm>
          <a:off x="95250" y="4000500"/>
          <a:ext cx="1714500" cy="38100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rgbClr val="FFDA5E"/>
              </a:solidFill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104775</xdr:colOff>
      <xdr:row>23</xdr:row>
      <xdr:rowOff>104775</xdr:rowOff>
    </xdr:from>
    <xdr:to>
      <xdr:col>0</xdr:col>
      <xdr:colOff>1819275</xdr:colOff>
      <xdr:row>26</xdr:row>
      <xdr:rowOff>0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549318DF-000A-4214-8299-2F251438E4EB}"/>
            </a:ext>
            <a:ext uri="{147F2762-F138-4A5C-976F-8EAC2B608ADB}">
              <a16:predDERef xmlns:a16="http://schemas.microsoft.com/office/drawing/2014/main" pred="{5DC0D9B5-CF46-492D-B625-C632577C82F4}"/>
            </a:ext>
          </a:extLst>
        </xdr:cNvPr>
        <xdr:cNvSpPr/>
      </xdr:nvSpPr>
      <xdr:spPr>
        <a:xfrm>
          <a:off x="104775" y="4791075"/>
          <a:ext cx="1714500" cy="466725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rgbClr val="FFDA5E"/>
              </a:solidFill>
              <a:latin typeface="STXingkai" panose="02010800040101010101" pitchFamily="2" charset="-122"/>
              <a:ea typeface="STXingkai" panose="02010800040101010101" pitchFamily="2" charset="-122"/>
            </a:rPr>
            <a:t>Sistem By Camyla Fernandes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161925</xdr:rowOff>
    </xdr:from>
    <xdr:to>
      <xdr:col>0</xdr:col>
      <xdr:colOff>1581150</xdr:colOff>
      <xdr:row>14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A34B5D-D8FB-4C2E-8258-3CA19E484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52425"/>
          <a:ext cx="1352550" cy="2524125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0</xdr:row>
      <xdr:rowOff>19050</xdr:rowOff>
    </xdr:from>
    <xdr:to>
      <xdr:col>0</xdr:col>
      <xdr:colOff>1752600</xdr:colOff>
      <xdr:row>2</xdr:row>
      <xdr:rowOff>161925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872E33EC-611C-12C5-DE60-CAEA72E54728}"/>
            </a:ext>
            <a:ext uri="{147F2762-F138-4A5C-976F-8EAC2B608ADB}">
              <a16:predDERef xmlns:a16="http://schemas.microsoft.com/office/drawing/2014/main" pred="{42A34B5D-D8FB-4C2E-8258-3CA19E4843D6}"/>
            </a:ext>
          </a:extLst>
        </xdr:cNvPr>
        <xdr:cNvSpPr/>
      </xdr:nvSpPr>
      <xdr:spPr>
        <a:xfrm>
          <a:off x="142875" y="19050"/>
          <a:ext cx="1609725" cy="523875"/>
        </a:xfrm>
        <a:prstGeom prst="round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>
              <a:solidFill>
                <a:schemeClr val="accent4">
                  <a:lumMod val="60000"/>
                  <a:lumOff val="40000"/>
                </a:schemeClr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Lion Tax</a:t>
          </a:r>
        </a:p>
      </xdr:txBody>
    </xdr:sp>
    <xdr:clientData/>
  </xdr:twoCellAnchor>
  <xdr:twoCellAnchor>
    <xdr:from>
      <xdr:col>0</xdr:col>
      <xdr:colOff>104775</xdr:colOff>
      <xdr:row>16</xdr:row>
      <xdr:rowOff>142875</xdr:rowOff>
    </xdr:from>
    <xdr:to>
      <xdr:col>0</xdr:col>
      <xdr:colOff>1819275</xdr:colOff>
      <xdr:row>18</xdr:row>
      <xdr:rowOff>142875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B0151F4C-E6CB-38C6-FC6C-B80275A6882B}"/>
            </a:ext>
            <a:ext uri="{147F2762-F138-4A5C-976F-8EAC2B608ADB}">
              <a16:predDERef xmlns:a16="http://schemas.microsoft.com/office/drawing/2014/main" pred="{872E33EC-611C-12C5-DE60-CAEA72E54728}"/>
            </a:ext>
          </a:extLst>
        </xdr:cNvPr>
        <xdr:cNvSpPr/>
      </xdr:nvSpPr>
      <xdr:spPr>
        <a:xfrm>
          <a:off x="104775" y="3000375"/>
          <a:ext cx="1714500" cy="38100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>
              <a:solidFill>
                <a:srgbClr val="FFDA5E"/>
              </a:solidFill>
              <a:latin typeface="Century Gothic" panose="020B0502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104775</xdr:colOff>
      <xdr:row>19</xdr:row>
      <xdr:rowOff>76200</xdr:rowOff>
    </xdr:from>
    <xdr:to>
      <xdr:col>0</xdr:col>
      <xdr:colOff>1819275</xdr:colOff>
      <xdr:row>21</xdr:row>
      <xdr:rowOff>76200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0D103472-375F-4194-A718-BA0DE371BB4D}"/>
            </a:ext>
            <a:ext uri="{147F2762-F138-4A5C-976F-8EAC2B608ADB}">
              <a16:predDERef xmlns:a16="http://schemas.microsoft.com/office/drawing/2014/main" pred="{B0151F4C-E6CB-38C6-FC6C-B80275A6882B}"/>
            </a:ext>
          </a:extLst>
        </xdr:cNvPr>
        <xdr:cNvSpPr/>
      </xdr:nvSpPr>
      <xdr:spPr>
        <a:xfrm>
          <a:off x="104775" y="3505200"/>
          <a:ext cx="1714500" cy="381000"/>
        </a:xfrm>
        <a:prstGeom prst="roundRect">
          <a:avLst/>
        </a:prstGeom>
        <a:solidFill>
          <a:srgbClr val="363636"/>
        </a:solidFill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rgbClr val="FFDA5E"/>
              </a:solidFill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22</xdr:row>
      <xdr:rowOff>0</xdr:rowOff>
    </xdr:from>
    <xdr:to>
      <xdr:col>0</xdr:col>
      <xdr:colOff>1809750</xdr:colOff>
      <xdr:row>24</xdr:row>
      <xdr:rowOff>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EB34023E-7B87-4EF5-891D-96B701F5E72C}"/>
            </a:ext>
            <a:ext uri="{147F2762-F138-4A5C-976F-8EAC2B608ADB}">
              <a16:predDERef xmlns:a16="http://schemas.microsoft.com/office/drawing/2014/main" pred="{0D103472-375F-4194-A718-BA0DE371BB4D}"/>
            </a:ext>
          </a:extLst>
        </xdr:cNvPr>
        <xdr:cNvSpPr/>
      </xdr:nvSpPr>
      <xdr:spPr>
        <a:xfrm>
          <a:off x="95250" y="4000500"/>
          <a:ext cx="1714500" cy="38100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rgbClr val="FFDA5E"/>
              </a:solidFill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123825</xdr:colOff>
      <xdr:row>24</xdr:row>
      <xdr:rowOff>133350</xdr:rowOff>
    </xdr:from>
    <xdr:to>
      <xdr:col>0</xdr:col>
      <xdr:colOff>1762125</xdr:colOff>
      <xdr:row>26</xdr:row>
      <xdr:rowOff>28575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0A59EDE5-4A7C-78E4-6E32-ED9041DFA111}"/>
            </a:ext>
            <a:ext uri="{147F2762-F138-4A5C-976F-8EAC2B608ADB}">
              <a16:predDERef xmlns:a16="http://schemas.microsoft.com/office/drawing/2014/main" pred="{EB34023E-7B87-4EF5-891D-96B701F5E72C}"/>
            </a:ext>
          </a:extLst>
        </xdr:cNvPr>
        <xdr:cNvSpPr/>
      </xdr:nvSpPr>
      <xdr:spPr>
        <a:xfrm>
          <a:off x="123825" y="4514850"/>
          <a:ext cx="1638300" cy="276225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rgbClr val="FFDA5E"/>
              </a:solidFill>
              <a:latin typeface="STXingkai" panose="02010800040101010101" pitchFamily="2" charset="-122"/>
              <a:ea typeface="STXingkai" panose="02010800040101010101" pitchFamily="2" charset="-122"/>
            </a:rPr>
            <a:t>Sistem By Camyla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</xdr:row>
      <xdr:rowOff>161925</xdr:rowOff>
    </xdr:from>
    <xdr:to>
      <xdr:col>0</xdr:col>
      <xdr:colOff>1581150</xdr:colOff>
      <xdr:row>14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147C7E-AD53-48C9-831B-16D71C37E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52425"/>
          <a:ext cx="1352550" cy="2524125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0</xdr:row>
      <xdr:rowOff>19050</xdr:rowOff>
    </xdr:from>
    <xdr:to>
      <xdr:col>0</xdr:col>
      <xdr:colOff>1752600</xdr:colOff>
      <xdr:row>2</xdr:row>
      <xdr:rowOff>161925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4A34231C-3FC8-4AB1-9987-00B8AEFC2E0F}"/>
            </a:ext>
            <a:ext uri="{147F2762-F138-4A5C-976F-8EAC2B608ADB}">
              <a16:predDERef xmlns:a16="http://schemas.microsoft.com/office/drawing/2014/main" pred="{9F147C7E-AD53-48C9-831B-16D71C37E8AD}"/>
            </a:ext>
          </a:extLst>
        </xdr:cNvPr>
        <xdr:cNvSpPr/>
      </xdr:nvSpPr>
      <xdr:spPr>
        <a:xfrm>
          <a:off x="142875" y="19050"/>
          <a:ext cx="1609725" cy="523875"/>
        </a:xfrm>
        <a:prstGeom prst="round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>
              <a:solidFill>
                <a:schemeClr val="accent4">
                  <a:lumMod val="60000"/>
                  <a:lumOff val="40000"/>
                </a:schemeClr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Lion Tax</a:t>
          </a:r>
        </a:p>
      </xdr:txBody>
    </xdr:sp>
    <xdr:clientData/>
  </xdr:twoCellAnchor>
  <xdr:twoCellAnchor>
    <xdr:from>
      <xdr:col>0</xdr:col>
      <xdr:colOff>104775</xdr:colOff>
      <xdr:row>15</xdr:row>
      <xdr:rowOff>142875</xdr:rowOff>
    </xdr:from>
    <xdr:to>
      <xdr:col>0</xdr:col>
      <xdr:colOff>1819275</xdr:colOff>
      <xdr:row>17</xdr:row>
      <xdr:rowOff>142875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7CD9F5B9-DBC8-499F-8AE4-713587FBC86C}"/>
            </a:ext>
            <a:ext uri="{147F2762-F138-4A5C-976F-8EAC2B608ADB}">
              <a16:predDERef xmlns:a16="http://schemas.microsoft.com/office/drawing/2014/main" pred="{4A34231C-3FC8-4AB1-9987-00B8AEFC2E0F}"/>
            </a:ext>
          </a:extLst>
        </xdr:cNvPr>
        <xdr:cNvSpPr/>
      </xdr:nvSpPr>
      <xdr:spPr>
        <a:xfrm>
          <a:off x="104775" y="3000375"/>
          <a:ext cx="1714500" cy="38100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>
              <a:solidFill>
                <a:srgbClr val="FFDA5E"/>
              </a:solidFill>
              <a:latin typeface="Century Gothic" panose="020B0502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104775</xdr:colOff>
      <xdr:row>18</xdr:row>
      <xdr:rowOff>76200</xdr:rowOff>
    </xdr:from>
    <xdr:to>
      <xdr:col>0</xdr:col>
      <xdr:colOff>1819275</xdr:colOff>
      <xdr:row>20</xdr:row>
      <xdr:rowOff>76200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FD6066A3-9DDF-49BB-9AC2-419AC3744E5B}"/>
            </a:ext>
            <a:ext uri="{147F2762-F138-4A5C-976F-8EAC2B608ADB}">
              <a16:predDERef xmlns:a16="http://schemas.microsoft.com/office/drawing/2014/main" pred="{7CD9F5B9-DBC8-499F-8AE4-713587FBC86C}"/>
            </a:ext>
          </a:extLst>
        </xdr:cNvPr>
        <xdr:cNvSpPr/>
      </xdr:nvSpPr>
      <xdr:spPr>
        <a:xfrm>
          <a:off x="104775" y="3505200"/>
          <a:ext cx="1714500" cy="381000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rgbClr val="FFDA5E"/>
              </a:solidFill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21</xdr:row>
      <xdr:rowOff>0</xdr:rowOff>
    </xdr:from>
    <xdr:to>
      <xdr:col>0</xdr:col>
      <xdr:colOff>1809750</xdr:colOff>
      <xdr:row>23</xdr:row>
      <xdr:rowOff>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577C3A36-0B32-4B92-8A0C-7333A267273E}"/>
            </a:ext>
            <a:ext uri="{147F2762-F138-4A5C-976F-8EAC2B608ADB}">
              <a16:predDERef xmlns:a16="http://schemas.microsoft.com/office/drawing/2014/main" pred="{FD6066A3-9DDF-49BB-9AC2-419AC3744E5B}"/>
            </a:ext>
          </a:extLst>
        </xdr:cNvPr>
        <xdr:cNvSpPr/>
      </xdr:nvSpPr>
      <xdr:spPr>
        <a:xfrm>
          <a:off x="95250" y="4000500"/>
          <a:ext cx="1714500" cy="381000"/>
        </a:xfrm>
        <a:prstGeom prst="roundRect">
          <a:avLst/>
        </a:prstGeom>
        <a:solidFill>
          <a:srgbClr val="363636"/>
        </a:solidFill>
        <a:ln>
          <a:solidFill>
            <a:schemeClr val="accent4">
              <a:lumMod val="7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rgbClr val="FFDA5E"/>
              </a:solidFill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123825</xdr:colOff>
      <xdr:row>23</xdr:row>
      <xdr:rowOff>133350</xdr:rowOff>
    </xdr:from>
    <xdr:to>
      <xdr:col>0</xdr:col>
      <xdr:colOff>1762125</xdr:colOff>
      <xdr:row>25</xdr:row>
      <xdr:rowOff>28575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539B80EB-60A5-444C-92A2-7E73690B5F36}"/>
            </a:ext>
            <a:ext uri="{147F2762-F138-4A5C-976F-8EAC2B608ADB}">
              <a16:predDERef xmlns:a16="http://schemas.microsoft.com/office/drawing/2014/main" pred="{577C3A36-0B32-4B92-8A0C-7333A267273E}"/>
            </a:ext>
          </a:extLst>
        </xdr:cNvPr>
        <xdr:cNvSpPr/>
      </xdr:nvSpPr>
      <xdr:spPr>
        <a:xfrm>
          <a:off x="123825" y="4514850"/>
          <a:ext cx="1638300" cy="276225"/>
        </a:xfrm>
        <a:prstGeom prst="round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rgbClr val="FFDA5E"/>
              </a:solidFill>
              <a:latin typeface="STXingkai" panose="02010800040101010101" pitchFamily="2" charset="-122"/>
              <a:ea typeface="STXingkai" panose="02010800040101010101" pitchFamily="2" charset="-122"/>
            </a:rPr>
            <a:t>Sistem By Camyla Fernandes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3DBF8-079C-4437-8C68-66F9B37584C4}" name="Tabela1" displayName="Tabela1" ref="C7:E26" totalsRowShown="0" headerRowDxfId="2">
  <autoFilter ref="C7:E26" xr:uid="{3EA3DBF8-079C-4437-8C68-66F9B37584C4}"/>
  <tableColumns count="3">
    <tableColumn id="1" xr3:uid="{EFBE21E4-4090-4F04-8534-183D4C2FE523}" name="Data" dataDxfId="1"/>
    <tableColumn id="2" xr3:uid="{FA27DA3D-F88E-427B-B9D2-C868581DE5A5}" name="Categoria"/>
    <tableColumn id="3" xr3:uid="{61F04F04-0F48-4518-9C72-E3D91E3A43BF}" name="Valor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2840-2A1B-4910-BD02-D3729D2CE980}">
  <dimension ref="A3:D22"/>
  <sheetViews>
    <sheetView showGridLines="0" showRowColHeaders="0" topLeftCell="A11" workbookViewId="0">
      <selection activeCell="C26" sqref="C26"/>
    </sheetView>
  </sheetViews>
  <sheetFormatPr defaultColWidth="9.140625" defaultRowHeight="15"/>
  <cols>
    <col min="1" max="1" width="29" style="1" customWidth="1"/>
    <col min="3" max="3" width="40.42578125" bestFit="1" customWidth="1"/>
    <col min="4" max="4" width="38.42578125" customWidth="1"/>
  </cols>
  <sheetData>
    <row r="3" spans="3:4" ht="18">
      <c r="C3" s="4" t="s">
        <v>0</v>
      </c>
      <c r="D3" s="3"/>
    </row>
    <row r="4" spans="3:4">
      <c r="C4" s="5" t="s">
        <v>1</v>
      </c>
      <c r="D4" s="2"/>
    </row>
    <row r="7" spans="3:4" ht="16.5">
      <c r="C7" s="8" t="s">
        <v>2</v>
      </c>
      <c r="D7" s="9"/>
    </row>
    <row r="8" spans="3:4" ht="16.5">
      <c r="C8" s="10" t="s">
        <v>3</v>
      </c>
      <c r="D8" s="11" t="str">
        <f>TEXT(A2,"000\.000\.000\-00")</f>
        <v>000.000.000-00</v>
      </c>
    </row>
    <row r="9" spans="3:4" ht="16.5">
      <c r="C9" s="10" t="s">
        <v>4</v>
      </c>
      <c r="D9" s="12"/>
    </row>
    <row r="10" spans="3:4" ht="16.5">
      <c r="C10" s="10" t="s">
        <v>5</v>
      </c>
      <c r="D10" s="12" t="str">
        <f>TEXT(A2,"0000\ 0000\ 00\ 00")</f>
        <v>0000 0000 00 00</v>
      </c>
    </row>
    <row r="11" spans="3:4" ht="16.5">
      <c r="C11" s="10" t="s">
        <v>6</v>
      </c>
      <c r="D11" s="12"/>
    </row>
    <row r="12" spans="3:4" ht="16.5">
      <c r="C12" s="10" t="s">
        <v>7</v>
      </c>
      <c r="D12" s="12"/>
    </row>
    <row r="13" spans="3:4" ht="16.5">
      <c r="C13" s="10" t="s">
        <v>8</v>
      </c>
      <c r="D13" s="12"/>
    </row>
    <row r="14" spans="3:4" ht="16.5">
      <c r="C14" s="10" t="s">
        <v>9</v>
      </c>
      <c r="D14" s="12" t="str">
        <f>TEXT(A2,"00000\-000")</f>
        <v>00000-000</v>
      </c>
    </row>
    <row r="15" spans="3:4" ht="16.5">
      <c r="C15" s="10" t="s">
        <v>10</v>
      </c>
      <c r="D15" s="12" t="str">
        <f>TEXT(A2,"\(00\)\ 0000\-0000")</f>
        <v>(00) 0000-0000</v>
      </c>
    </row>
    <row r="16" spans="3:4" ht="16.5">
      <c r="C16" s="10" t="s">
        <v>11</v>
      </c>
      <c r="D16" s="12" t="str">
        <f>TEXT(A2,"\(00\)\ 00000\-0000")</f>
        <v>(00) 00000-0000</v>
      </c>
    </row>
    <row r="17" spans="3:4" ht="16.5">
      <c r="C17" s="10" t="s">
        <v>12</v>
      </c>
      <c r="D17" s="12"/>
    </row>
    <row r="18" spans="3:4" ht="16.5">
      <c r="C18" s="10" t="s">
        <v>13</v>
      </c>
      <c r="D18" s="12" t="s">
        <v>14</v>
      </c>
    </row>
    <row r="19" spans="3:4" ht="16.5">
      <c r="C19" s="10" t="s">
        <v>15</v>
      </c>
      <c r="D19" s="12" t="s">
        <v>16</v>
      </c>
    </row>
    <row r="20" spans="3:4" ht="16.5">
      <c r="C20" s="13" t="s">
        <v>17</v>
      </c>
      <c r="D20" s="14" t="s">
        <v>14</v>
      </c>
    </row>
    <row r="21" spans="3:4">
      <c r="D21" s="6"/>
    </row>
    <row r="22" spans="3:4">
      <c r="D22" s="7" t="s">
        <v>18</v>
      </c>
    </row>
  </sheetData>
  <dataValidations count="2">
    <dataValidation allowBlank="1" showInputMessage="1" showErrorMessage="1" sqref="D7" xr:uid="{12B260E3-E0E1-4EDC-992B-D71D2AFCD658}"/>
    <dataValidation type="list" allowBlank="1" showInputMessage="1" showErrorMessage="1" sqref="D18:D20" xr:uid="{F5597CD5-A89C-4137-A75B-7142F7895A77}">
      <formula1>"Sim, 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9"/>
  <sheetViews>
    <sheetView showGridLines="0" showRowColHeaders="0" topLeftCell="A25" workbookViewId="0">
      <selection activeCell="G25" sqref="G25"/>
    </sheetView>
  </sheetViews>
  <sheetFormatPr defaultRowHeight="15"/>
  <cols>
    <col min="1" max="1" width="29" style="1" customWidth="1"/>
    <col min="3" max="3" width="40.28515625" customWidth="1"/>
    <col min="4" max="4" width="36.7109375" customWidth="1"/>
  </cols>
  <sheetData>
    <row r="3" spans="3:4" ht="18">
      <c r="C3" s="4" t="s">
        <v>19</v>
      </c>
      <c r="D3" s="3"/>
    </row>
    <row r="4" spans="3:4">
      <c r="C4" s="5" t="s">
        <v>20</v>
      </c>
      <c r="D4" s="2"/>
    </row>
    <row r="5" spans="3:4">
      <c r="C5" s="21"/>
      <c r="D5" s="22"/>
    </row>
    <row r="6" spans="3:4">
      <c r="C6" s="20" t="s">
        <v>21</v>
      </c>
    </row>
    <row r="7" spans="3:4">
      <c r="C7" s="24">
        <f>SUM(D11,D16,D21,D26)</f>
        <v>24000</v>
      </c>
      <c r="D7" s="23"/>
    </row>
    <row r="9" spans="3:4">
      <c r="C9" s="17" t="s">
        <v>22</v>
      </c>
    </row>
    <row r="10" spans="3:4" ht="16.5">
      <c r="C10" s="8" t="s">
        <v>23</v>
      </c>
      <c r="D10" s="9" t="s">
        <v>24</v>
      </c>
    </row>
    <row r="11" spans="3:4" ht="16.5">
      <c r="C11" s="10" t="s">
        <v>25</v>
      </c>
      <c r="D11" s="16">
        <v>5000</v>
      </c>
    </row>
    <row r="12" spans="3:4" ht="16.5">
      <c r="C12" s="13" t="s">
        <v>26</v>
      </c>
      <c r="D12" s="14"/>
    </row>
    <row r="14" spans="3:4">
      <c r="C14" s="17" t="s">
        <v>27</v>
      </c>
    </row>
    <row r="15" spans="3:4" ht="16.5">
      <c r="C15" s="8" t="s">
        <v>23</v>
      </c>
      <c r="D15" s="9" t="s">
        <v>28</v>
      </c>
    </row>
    <row r="16" spans="3:4" ht="16.5">
      <c r="C16" s="10" t="s">
        <v>25</v>
      </c>
      <c r="D16" s="16">
        <v>10000</v>
      </c>
    </row>
    <row r="17" spans="3:4" ht="16.5">
      <c r="C17" s="13" t="s">
        <v>26</v>
      </c>
      <c r="D17" s="14"/>
    </row>
    <row r="19" spans="3:4">
      <c r="C19" s="17" t="s">
        <v>29</v>
      </c>
    </row>
    <row r="20" spans="3:4" ht="16.5">
      <c r="C20" s="8" t="s">
        <v>23</v>
      </c>
      <c r="D20" s="9" t="s">
        <v>30</v>
      </c>
    </row>
    <row r="21" spans="3:4" ht="16.5">
      <c r="C21" s="10" t="s">
        <v>25</v>
      </c>
      <c r="D21" s="16">
        <v>6000</v>
      </c>
    </row>
    <row r="22" spans="3:4" ht="16.5">
      <c r="C22" s="13" t="s">
        <v>26</v>
      </c>
      <c r="D22" s="14"/>
    </row>
    <row r="24" spans="3:4">
      <c r="C24" s="17" t="s">
        <v>31</v>
      </c>
    </row>
    <row r="25" spans="3:4" ht="16.5">
      <c r="C25" s="8" t="s">
        <v>23</v>
      </c>
      <c r="D25" s="9" t="s">
        <v>32</v>
      </c>
    </row>
    <row r="26" spans="3:4" ht="16.5">
      <c r="C26" s="10" t="s">
        <v>25</v>
      </c>
      <c r="D26" s="16">
        <v>3000</v>
      </c>
    </row>
    <row r="27" spans="3:4" ht="16.5">
      <c r="C27" s="13" t="s">
        <v>26</v>
      </c>
      <c r="D27" s="14"/>
    </row>
    <row r="29" spans="3:4">
      <c r="C29" s="7" t="s">
        <v>33</v>
      </c>
      <c r="D29" s="7" t="s">
        <v>18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error="Nome de Banco errado, informe p nome do Seu Banco" promptTitle="Informe o banco" prompt="Informe o Nome do Seu Banco" xr:uid="{EC7B4761-83BE-4F4C-ADCA-D28B0E333140}">
          <x14:formula1>
            <xm:f>Dados!$A$2:$A$51</xm:f>
          </x14:formula1>
          <xm:sqref>D10 D15 D20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2595-29D7-4997-BCB8-7A7C99DE2A38}">
  <dimension ref="A1:E28"/>
  <sheetViews>
    <sheetView showGridLines="0" showRowColHeaders="0" workbookViewId="0">
      <selection activeCell="E1" sqref="E1"/>
    </sheetView>
  </sheetViews>
  <sheetFormatPr defaultRowHeight="15"/>
  <cols>
    <col min="1" max="1" width="29" style="1" customWidth="1"/>
    <col min="3" max="3" width="31.42578125" style="27" customWidth="1"/>
    <col min="4" max="4" width="33.7109375" customWidth="1"/>
    <col min="5" max="5" width="27.42578125" style="25" customWidth="1"/>
  </cols>
  <sheetData>
    <row r="1" spans="3:5">
      <c r="C1"/>
    </row>
    <row r="2" spans="3:5">
      <c r="C2"/>
    </row>
    <row r="3" spans="3:5" ht="18">
      <c r="C3" s="33" t="s">
        <v>34</v>
      </c>
      <c r="D3" s="33"/>
      <c r="E3" s="33"/>
    </row>
    <row r="4" spans="3:5">
      <c r="C4" s="34" t="s">
        <v>35</v>
      </c>
      <c r="D4" s="34"/>
      <c r="E4" s="34"/>
    </row>
    <row r="5" spans="3:5">
      <c r="C5"/>
    </row>
    <row r="6" spans="3:5" ht="17.25">
      <c r="C6" s="35" t="s">
        <v>36</v>
      </c>
      <c r="D6" s="36"/>
      <c r="E6" s="36"/>
    </row>
    <row r="7" spans="3:5">
      <c r="C7" s="28" t="s">
        <v>37</v>
      </c>
      <c r="D7" s="28" t="s">
        <v>38</v>
      </c>
      <c r="E7" s="29" t="s">
        <v>39</v>
      </c>
    </row>
    <row r="8" spans="3:5">
      <c r="C8" s="26"/>
    </row>
    <row r="9" spans="3:5">
      <c r="C9" s="26"/>
    </row>
    <row r="10" spans="3:5">
      <c r="C10" s="26"/>
    </row>
    <row r="11" spans="3:5">
      <c r="C11" s="26"/>
    </row>
    <row r="12" spans="3:5">
      <c r="C12" s="26"/>
    </row>
    <row r="13" spans="3:5">
      <c r="C13" s="26"/>
    </row>
    <row r="14" spans="3:5">
      <c r="C14" s="26"/>
    </row>
    <row r="15" spans="3:5">
      <c r="C15" s="26"/>
    </row>
    <row r="16" spans="3:5">
      <c r="C16" s="26"/>
    </row>
    <row r="17" spans="3:5">
      <c r="C17" s="26"/>
    </row>
    <row r="18" spans="3:5">
      <c r="C18" s="26"/>
    </row>
    <row r="19" spans="3:5">
      <c r="C19" s="26"/>
    </row>
    <row r="20" spans="3:5">
      <c r="C20" s="26"/>
    </row>
    <row r="21" spans="3:5">
      <c r="C21" s="26"/>
    </row>
    <row r="22" spans="3:5">
      <c r="C22" s="26"/>
    </row>
    <row r="23" spans="3:5">
      <c r="C23" s="26"/>
    </row>
    <row r="24" spans="3:5">
      <c r="C24" s="26"/>
    </row>
    <row r="25" spans="3:5">
      <c r="C25" s="26"/>
    </row>
    <row r="26" spans="3:5">
      <c r="C26" s="26"/>
    </row>
    <row r="28" spans="3:5">
      <c r="C28" s="7" t="s">
        <v>33</v>
      </c>
      <c r="E28" s="7" t="s">
        <v>18</v>
      </c>
    </row>
  </sheetData>
  <mergeCells count="3">
    <mergeCell ref="C3:E3"/>
    <mergeCell ref="C4:E4"/>
    <mergeCell ref="C6:E6"/>
  </mergeCells>
  <dataValidations count="1">
    <dataValidation type="custom" allowBlank="1" showInputMessage="1" showErrorMessage="1" sqref="D8:D26" xr:uid="{18252980-5AF0-42CB-A77D-B7589AE8C25A}">
      <formula1>"Holerite, CNPJ, 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EC9F-1F37-4D8E-80C4-65668CDC3D15}">
  <dimension ref="A1:AE65"/>
  <sheetViews>
    <sheetView tabSelected="1" workbookViewId="0">
      <selection activeCell="B14" sqref="B14"/>
    </sheetView>
  </sheetViews>
  <sheetFormatPr defaultRowHeight="15"/>
  <cols>
    <col min="1" max="1" width="33.140625" bestFit="1" customWidth="1"/>
  </cols>
  <sheetData>
    <row r="1" spans="1:2">
      <c r="A1" s="30" t="s">
        <v>40</v>
      </c>
      <c r="B1" s="15"/>
    </row>
    <row r="2" spans="1:2">
      <c r="A2" s="31" t="s">
        <v>24</v>
      </c>
      <c r="B2" s="15"/>
    </row>
    <row r="3" spans="1:2">
      <c r="A3" s="31" t="s">
        <v>41</v>
      </c>
      <c r="B3" s="15"/>
    </row>
    <row r="4" spans="1:2">
      <c r="A4" s="31" t="s">
        <v>28</v>
      </c>
      <c r="B4" s="15"/>
    </row>
    <row r="5" spans="1:2">
      <c r="A5" s="31" t="s">
        <v>42</v>
      </c>
      <c r="B5" s="15"/>
    </row>
    <row r="6" spans="1:2">
      <c r="A6" s="31" t="s">
        <v>43</v>
      </c>
      <c r="B6" s="15"/>
    </row>
    <row r="7" spans="1:2">
      <c r="A7" s="31" t="s">
        <v>30</v>
      </c>
      <c r="B7" s="15"/>
    </row>
    <row r="8" spans="1:2">
      <c r="A8" s="31" t="s">
        <v>44</v>
      </c>
      <c r="B8" s="15"/>
    </row>
    <row r="9" spans="1:2">
      <c r="A9" s="31" t="s">
        <v>45</v>
      </c>
      <c r="B9" s="15"/>
    </row>
    <row r="10" spans="1:2">
      <c r="A10" s="31" t="s">
        <v>46</v>
      </c>
      <c r="B10" s="15"/>
    </row>
    <row r="11" spans="1:2">
      <c r="A11" s="31" t="s">
        <v>47</v>
      </c>
      <c r="B11" s="15"/>
    </row>
    <row r="12" spans="1:2">
      <c r="A12" s="31" t="s">
        <v>32</v>
      </c>
      <c r="B12" s="15"/>
    </row>
    <row r="13" spans="1:2">
      <c r="A13" s="31" t="s">
        <v>48</v>
      </c>
      <c r="B13" s="15"/>
    </row>
    <row r="14" spans="1:2">
      <c r="A14" s="31" t="s">
        <v>49</v>
      </c>
      <c r="B14" s="15"/>
    </row>
    <row r="15" spans="1:2">
      <c r="A15" s="31" t="s">
        <v>50</v>
      </c>
      <c r="B15" s="15"/>
    </row>
    <row r="16" spans="1:2">
      <c r="A16" s="31" t="s">
        <v>51</v>
      </c>
      <c r="B16" s="15"/>
    </row>
    <row r="17" spans="1:2">
      <c r="A17" s="31" t="s">
        <v>52</v>
      </c>
      <c r="B17" s="15"/>
    </row>
    <row r="18" spans="1:2">
      <c r="A18" s="31" t="s">
        <v>53</v>
      </c>
      <c r="B18" s="15"/>
    </row>
    <row r="19" spans="1:2">
      <c r="A19" s="31" t="s">
        <v>54</v>
      </c>
      <c r="B19" s="15"/>
    </row>
    <row r="20" spans="1:2">
      <c r="A20" s="31" t="s">
        <v>55</v>
      </c>
      <c r="B20" s="15"/>
    </row>
    <row r="21" spans="1:2">
      <c r="A21" s="31" t="s">
        <v>56</v>
      </c>
      <c r="B21" s="15"/>
    </row>
    <row r="22" spans="1:2">
      <c r="A22" s="31" t="s">
        <v>57</v>
      </c>
      <c r="B22" s="15"/>
    </row>
    <row r="23" spans="1:2">
      <c r="A23" s="31" t="s">
        <v>58</v>
      </c>
      <c r="B23" s="15"/>
    </row>
    <row r="24" spans="1:2">
      <c r="A24" s="31" t="s">
        <v>59</v>
      </c>
      <c r="B24" s="15"/>
    </row>
    <row r="25" spans="1:2">
      <c r="A25" s="31" t="s">
        <v>60</v>
      </c>
      <c r="B25" s="15"/>
    </row>
    <row r="26" spans="1:2">
      <c r="A26" s="31" t="s">
        <v>61</v>
      </c>
      <c r="B26" s="15"/>
    </row>
    <row r="27" spans="1:2">
      <c r="A27" s="31" t="s">
        <v>62</v>
      </c>
      <c r="B27" s="15"/>
    </row>
    <row r="28" spans="1:2">
      <c r="A28" s="31" t="s">
        <v>63</v>
      </c>
      <c r="B28" s="15"/>
    </row>
    <row r="29" spans="1:2">
      <c r="A29" s="31" t="s">
        <v>64</v>
      </c>
      <c r="B29" s="15"/>
    </row>
    <row r="30" spans="1:2">
      <c r="A30" s="31" t="s">
        <v>65</v>
      </c>
      <c r="B30" s="15"/>
    </row>
    <row r="31" spans="1:2">
      <c r="A31" s="31" t="s">
        <v>66</v>
      </c>
      <c r="B31" s="15"/>
    </row>
    <row r="32" spans="1:2">
      <c r="A32" s="31" t="s">
        <v>67</v>
      </c>
      <c r="B32" s="15"/>
    </row>
    <row r="33" spans="1:2">
      <c r="A33" s="31" t="s">
        <v>68</v>
      </c>
      <c r="B33" s="15"/>
    </row>
    <row r="34" spans="1:2">
      <c r="A34" s="31" t="s">
        <v>69</v>
      </c>
      <c r="B34" s="15"/>
    </row>
    <row r="35" spans="1:2">
      <c r="A35" s="31" t="s">
        <v>70</v>
      </c>
      <c r="B35" s="15"/>
    </row>
    <row r="36" spans="1:2">
      <c r="A36" s="31" t="s">
        <v>71</v>
      </c>
      <c r="B36" s="15"/>
    </row>
    <row r="37" spans="1:2">
      <c r="A37" s="31" t="s">
        <v>72</v>
      </c>
      <c r="B37" s="15"/>
    </row>
    <row r="38" spans="1:2">
      <c r="A38" s="31" t="s">
        <v>73</v>
      </c>
      <c r="B38" s="15"/>
    </row>
    <row r="39" spans="1:2">
      <c r="A39" s="31" t="s">
        <v>74</v>
      </c>
      <c r="B39" s="15"/>
    </row>
    <row r="40" spans="1:2">
      <c r="A40" s="31" t="s">
        <v>75</v>
      </c>
      <c r="B40" s="15"/>
    </row>
    <row r="41" spans="1:2">
      <c r="A41" s="31" t="s">
        <v>76</v>
      </c>
      <c r="B41" s="15"/>
    </row>
    <row r="42" spans="1:2">
      <c r="A42" s="31" t="s">
        <v>77</v>
      </c>
      <c r="B42" s="15"/>
    </row>
    <row r="43" spans="1:2">
      <c r="A43" s="31" t="s">
        <v>78</v>
      </c>
      <c r="B43" s="15"/>
    </row>
    <row r="44" spans="1:2">
      <c r="A44" s="31" t="s">
        <v>79</v>
      </c>
      <c r="B44" s="15"/>
    </row>
    <row r="45" spans="1:2">
      <c r="A45" s="31" t="s">
        <v>80</v>
      </c>
      <c r="B45" s="15"/>
    </row>
    <row r="46" spans="1:2">
      <c r="A46" s="31" t="s">
        <v>81</v>
      </c>
      <c r="B46" s="15"/>
    </row>
    <row r="47" spans="1:2">
      <c r="A47" s="31" t="s">
        <v>82</v>
      </c>
      <c r="B47" s="15"/>
    </row>
    <row r="48" spans="1:2">
      <c r="A48" s="31" t="s">
        <v>83</v>
      </c>
      <c r="B48" s="15"/>
    </row>
    <row r="49" spans="1:31">
      <c r="A49" s="31" t="s">
        <v>84</v>
      </c>
      <c r="B49" s="15"/>
    </row>
    <row r="50" spans="1:31">
      <c r="A50" s="31" t="s">
        <v>85</v>
      </c>
      <c r="B50" s="15"/>
    </row>
    <row r="51" spans="1:31">
      <c r="A51" s="32" t="s">
        <v>86</v>
      </c>
      <c r="B51" s="15"/>
    </row>
    <row r="55" spans="1:31" ht="16.5">
      <c r="AD55" s="18"/>
      <c r="AE55" s="19"/>
    </row>
    <row r="56" spans="1:31" ht="16.5">
      <c r="AD56" s="10"/>
      <c r="AE56" s="12"/>
    </row>
    <row r="57" spans="1:31" ht="16.5">
      <c r="AD57" s="10"/>
      <c r="AE57" s="12"/>
    </row>
    <row r="58" spans="1:31" ht="16.5">
      <c r="AD58" s="10"/>
      <c r="AE58" s="12"/>
    </row>
    <row r="59" spans="1:31" ht="16.5">
      <c r="AD59" s="10"/>
      <c r="AE59" s="12"/>
    </row>
    <row r="60" spans="1:31" ht="16.5">
      <c r="AD60" s="10"/>
      <c r="AE60" s="12"/>
    </row>
    <row r="61" spans="1:31" ht="16.5">
      <c r="AD61" s="10"/>
      <c r="AE61" s="12"/>
    </row>
    <row r="62" spans="1:31" ht="16.5">
      <c r="AD62" s="10"/>
      <c r="AE62" s="12"/>
    </row>
    <row r="63" spans="1:31" ht="16.5">
      <c r="AD63" s="10"/>
      <c r="AE63" s="12"/>
    </row>
    <row r="64" spans="1:31" ht="16.5">
      <c r="AD64" s="10"/>
      <c r="AE64" s="12"/>
    </row>
    <row r="65" spans="30:31" ht="16.5">
      <c r="AD65" s="13"/>
      <c r="AE65" s="14"/>
    </row>
  </sheetData>
  <dataValidations count="1">
    <dataValidation allowBlank="1" showInputMessage="1" showErrorMessage="1" sqref="AE63:AE65" xr:uid="{62CCCC13-F4F9-4B73-B4B0-0FA26456A90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2026-09-29T11:48:46Z</dcterms:created>
  <dcterms:modified xsi:type="dcterms:W3CDTF">2026-10-03T01:01:01Z</dcterms:modified>
  <cp:category/>
  <cp:contentStatus/>
</cp:coreProperties>
</file>