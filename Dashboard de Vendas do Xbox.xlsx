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hidePivotFieldList="1" defaultThemeVersion="166925"/>
  <xr:revisionPtr revIDLastSave="0" documentId="8_{AFCE59A5-A14D-4ACB-91DD-90894A8A5798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Assests" sheetId="2" r:id="rId1"/>
    <sheet name="Dados" sheetId="1" r:id="rId2"/>
    <sheet name="Cálculo" sheetId="3" r:id="rId3"/>
    <sheet name="Dashboard" sheetId="4" r:id="rId4"/>
  </sheets>
  <definedNames>
    <definedName name="_xlnm._FilterDatabase" localSheetId="1" hidden="1">Dados!$A$1:$M$1</definedName>
    <definedName name="SegmentaçãodeDados_Subscription_Type">#N/A</definedName>
  </definedNames>
  <calcPr calcId="191028"/>
  <pivotCaches>
    <pivotCache cacheId="56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4" i="3" l="1"/>
  <c r="H6" i="4" s="1"/>
  <c r="D16" i="3"/>
  <c r="D6" i="4" s="1"/>
</calcChain>
</file>

<file path=xl/sharedStrings.xml><?xml version="1.0" encoding="utf-8"?>
<sst xmlns="http://schemas.openxmlformats.org/spreadsheetml/2006/main" count="642" uniqueCount="131">
  <si>
    <t>Paleta de Cores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</si>
  <si>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</si>
  <si>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</si>
  <si>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</si>
  <si>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</si>
  <si>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</si>
  <si>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</si>
  <si>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</si>
  <si>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</si>
  <si>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</si>
  <si>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</si>
  <si>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</si>
  <si>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</si>
  <si>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</si>
  <si>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</si>
  <si>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</si>
  <si>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</si>
  <si>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</si>
  <si>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</si>
  <si>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</si>
  <si>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Ana Souza</t>
  </si>
  <si>
    <t>No</t>
  </si>
  <si>
    <t>Camila Ribeiro</t>
  </si>
  <si>
    <t>Quarterly</t>
  </si>
  <si>
    <t>Sofia Almeida</t>
  </si>
  <si>
    <t>Marco Túlio</t>
  </si>
  <si>
    <t>Annual</t>
  </si>
  <si>
    <t>Fernanda Lima</t>
  </si>
  <si>
    <t>Cesar Oliveira</t>
  </si>
  <si>
    <t>Gabriela Santos</t>
  </si>
  <si>
    <t>Joaquim Barbosa</t>
  </si>
  <si>
    <t>Nicole Costa</t>
  </si>
  <si>
    <t>Raquel Alves</t>
  </si>
  <si>
    <t>Vinicius Lima</t>
  </si>
  <si>
    <t>Bruno Cavalheiro</t>
  </si>
  <si>
    <t>Eunice Lima</t>
  </si>
  <si>
    <t>Hélio Castro</t>
  </si>
  <si>
    <t>Kléber Oliveira</t>
  </si>
  <si>
    <t>Nilo Peçanha</t>
  </si>
  <si>
    <t>Quirino Gonçalves</t>
  </si>
  <si>
    <t>Tiago Ramos</t>
  </si>
  <si>
    <t>William Siqueira</t>
  </si>
  <si>
    <t>Zacarias Alves</t>
  </si>
  <si>
    <t>Carla Bruni</t>
  </si>
  <si>
    <t>Fábio Nobre</t>
  </si>
  <si>
    <t>Ivan Carvalho</t>
  </si>
  <si>
    <t>Lucas Mendes</t>
  </si>
  <si>
    <t>Otávio Barros</t>
  </si>
  <si>
    <t>Raquel Novaes</t>
  </si>
  <si>
    <t>Ulysses Guimarães</t>
  </si>
  <si>
    <t>Ximena Rocha</t>
  </si>
  <si>
    <t>Alan Teixeira</t>
  </si>
  <si>
    <t>Daniela Moura</t>
  </si>
  <si>
    <t>Geraldo Ribeiro</t>
  </si>
  <si>
    <t>João Pedro Almeida</t>
  </si>
  <si>
    <t>Marcelo Gouveia</t>
  </si>
  <si>
    <t>Patrícia Alves</t>
  </si>
  <si>
    <t>Ulisses Tavares</t>
  </si>
  <si>
    <t>Xavier Nascimento</t>
  </si>
  <si>
    <t>Amanda Lopes</t>
  </si>
  <si>
    <t>Diogo Souza</t>
  </si>
  <si>
    <t>João Marcelo</t>
  </si>
  <si>
    <t>Nadia Costa</t>
  </si>
  <si>
    <t>Quênia Barros</t>
  </si>
  <si>
    <t>Tiago Mendes</t>
  </si>
  <si>
    <t>Waldir Junior</t>
  </si>
  <si>
    <t>Zacarias Nunes</t>
  </si>
  <si>
    <t>Carlos Eduardo</t>
  </si>
  <si>
    <t>Fabiano Gomes</t>
  </si>
  <si>
    <t>Igor Martins</t>
  </si>
  <si>
    <t>Luciana Santos</t>
  </si>
  <si>
    <t>Oscar Ribeiro</t>
  </si>
  <si>
    <t>Renata Machado</t>
  </si>
  <si>
    <t>Ulysses Pereira</t>
  </si>
  <si>
    <t>Xuxa Meneghel</t>
  </si>
  <si>
    <t>André Lima</t>
  </si>
  <si>
    <t>Guilherme Souza</t>
  </si>
  <si>
    <t>João Carvalho</t>
  </si>
  <si>
    <t>Nina Pacheco</t>
  </si>
  <si>
    <t>Raquel Domingos</t>
  </si>
  <si>
    <t>Ulysses Farias</t>
  </si>
  <si>
    <t>Ximena Barros</t>
  </si>
  <si>
    <t>André Lopes</t>
  </si>
  <si>
    <t>Daniela Araújo</t>
  </si>
  <si>
    <t>Gabriel Teixeira</t>
  </si>
  <si>
    <t>Joana Silveira</t>
  </si>
  <si>
    <t>Nicolas Borges</t>
  </si>
  <si>
    <t>Raquel Andrade</t>
  </si>
  <si>
    <t>Ursula Monteiro</t>
  </si>
  <si>
    <t>Xavier Almeida</t>
  </si>
  <si>
    <t>Amanda Costa</t>
  </si>
  <si>
    <t>Diogo Martins</t>
  </si>
  <si>
    <t>Gabriel Santos</t>
  </si>
  <si>
    <t>Marcos Vinícius</t>
  </si>
  <si>
    <t>Patrícia Leite</t>
  </si>
  <si>
    <t>Sandra Gouveia</t>
  </si>
  <si>
    <t>Vanessa Andrade</t>
  </si>
  <si>
    <t>Yasmin Figueira</t>
  </si>
  <si>
    <t>Bruno Santos</t>
  </si>
  <si>
    <t>Elisa Neves</t>
  </si>
  <si>
    <t>Hélio Costa</t>
  </si>
  <si>
    <t>Klara Silva</t>
  </si>
  <si>
    <t>Natália Soares</t>
  </si>
  <si>
    <t>Quirino Neto</t>
  </si>
  <si>
    <t>Sandro Almeida</t>
  </si>
  <si>
    <t>Valéria Lima</t>
  </si>
  <si>
    <t>Ygor Farias</t>
  </si>
  <si>
    <t>Bruno Costa</t>
  </si>
  <si>
    <t>Elisa Correia</t>
  </si>
  <si>
    <t>Henrique Gonçalves</t>
  </si>
  <si>
    <t>Klara Fonseca</t>
  </si>
  <si>
    <t>Natália Castro</t>
  </si>
  <si>
    <t>Quentin Nogueira</t>
  </si>
  <si>
    <t>Tânia Machado</t>
  </si>
  <si>
    <t>William Carvalho</t>
  </si>
  <si>
    <t>Zacarias Duarte</t>
  </si>
  <si>
    <t>Carla Siqueira</t>
  </si>
  <si>
    <t>Perguntas de negócio</t>
  </si>
  <si>
    <t>Pergunta1- Qual o total de faturamento Anual (contendo todas as assinaturas)</t>
  </si>
  <si>
    <t>Pergunta2- Qual o total de faturamento Anual separado por autorenovação</t>
  </si>
  <si>
    <t>Soma de Total Value</t>
  </si>
  <si>
    <t>Total Geral</t>
  </si>
  <si>
    <t>Pergunta3- Total de vendas da assinatura de EA Play</t>
  </si>
  <si>
    <t>Soma de EA Play Season Pass
Price</t>
  </si>
  <si>
    <t>Pergunta 4- Total de vendas da assinatura de Minecraft</t>
  </si>
  <si>
    <t>Soma de Minecraft Season Pass Price</t>
  </si>
  <si>
    <t xml:space="preserve">        XBOX GAME PASS SUBSCRIPTIONS SALES</t>
  </si>
  <si>
    <t>Periodo de Apuração 01/01/2024 a 31/12/2024</t>
  </si>
  <si>
    <t>Update:  02/10/2026</t>
  </si>
  <si>
    <t>Total EA Play Season Pass Price</t>
  </si>
  <si>
    <t>Bem Vinda, Gestora Melissa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</si>
</sst>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>
    <font>
      <sz val="11"/>
      <color theme="1"/>
      <name val="Calibri"/>
      <family val="2"/>
      <scheme val="minor"/>
    </font>
    <font>
      <b/>
      <sz val="10"/>
      <color rgb="FF000000"/>
      <name val="Aptos Narrow"/>
      <charset val="1"/>
    </font>
    <font>
      <sz val="10"/>
      <color rgb="FF000000"/>
      <name val="Aptos Narrow"/>
      <charset val="1"/>
    </font>
    <font>
      <sz val="10"/>
      <color theme="1"/>
      <name val="Aptos Narrow"/>
      <charset val="1"/>
    </font>
    <font>
      <b/>
      <sz val="13.5"/>
      <color rgb="FF0E2841"/>
      <name val="Aptos Narrow"/>
      <charset val="1"/>
    </font>
    <font>
      <b/>
      <i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0"/>
      <color theme="9" tint="-0.499984740745262"/>
      <name val="Aptos Narrow"/>
      <charset val="1"/>
    </font>
    <font>
      <b/>
      <i/>
      <sz val="12"/>
      <color theme="9" tint="-0.499984740745262"/>
      <name val="Book Antiqua"/>
    </font>
    <font>
      <sz val="11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9" tint="-0.499984740745262"/>
      <name val="Bookman Old Style"/>
    </font>
    <font>
      <sz val="12"/>
      <color theme="9" tint="0.79998168889431442"/>
      <name val="Calibri"/>
      <family val="2"/>
      <scheme val="minor"/>
    </font>
    <font>
      <b/>
      <sz val="12"/>
      <color theme="9" tint="0.79998168889431442"/>
      <name val="Bookman Old Style"/>
    </font>
    <font>
      <sz val="12"/>
      <color theme="1"/>
      <name val="Century Schoolbook"/>
    </font>
    <font>
      <sz val="14"/>
      <color theme="9" tint="0.79998168889431442"/>
      <name val="Bookman Old Style"/>
    </font>
    <font>
      <sz val="10"/>
      <color theme="9" tint="-0.499984740745262"/>
      <name val="Calibri"/>
      <family val="2"/>
      <scheme val="minor"/>
    </font>
    <font>
      <sz val="9"/>
      <color theme="9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AEAEA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thin">
        <color theme="2" tint="-0.249977111117893"/>
      </right>
      <top style="medium">
        <color rgb="FF000000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rgb="FF000000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rgb="FF000000"/>
      </right>
      <top style="medium">
        <color rgb="FF000000"/>
      </top>
      <bottom style="thin">
        <color theme="2" tint="-0.249977111117893"/>
      </bottom>
      <diagonal/>
    </border>
    <border>
      <left style="medium">
        <color rgb="FF000000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rgb="FF000000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rgb="FF000000"/>
      </left>
      <right style="thin">
        <color theme="2" tint="-0.249977111117893"/>
      </right>
      <top style="thin">
        <color theme="2" tint="-0.249977111117893"/>
      </top>
      <bottom style="medium">
        <color rgb="FF00000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rgb="FF000000"/>
      </bottom>
      <diagonal/>
    </border>
    <border>
      <left style="thin">
        <color theme="2" tint="-0.249977111117893"/>
      </left>
      <right style="medium">
        <color rgb="FF000000"/>
      </right>
      <top style="thin">
        <color theme="2" tint="-0.249977111117893"/>
      </top>
      <bottom style="medium">
        <color rgb="FF000000"/>
      </bottom>
      <diagonal/>
    </border>
    <border>
      <left/>
      <right/>
      <top/>
      <bottom style="thick">
        <color rgb="FF156082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thick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 style="thick">
        <color theme="9" tint="-0.249977111117893"/>
      </bottom>
      <diagonal/>
    </border>
    <border>
      <left/>
      <right/>
      <top/>
      <bottom style="thick">
        <color theme="9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/>
      <top/>
      <bottom style="thin">
        <color rgb="FF000000"/>
      </bottom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/>
      <right/>
      <top style="thick">
        <color theme="9" tint="-0.249977111117893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14" fontId="2" fillId="0" borderId="5" xfId="0" applyNumberFormat="1" applyFont="1" applyBorder="1"/>
    <xf numFmtId="8" fontId="3" fillId="0" borderId="5" xfId="0" applyNumberFormat="1" applyFont="1" applyBorder="1"/>
    <xf numFmtId="8" fontId="2" fillId="0" borderId="5" xfId="0" applyNumberFormat="1" applyFont="1" applyBorder="1"/>
    <xf numFmtId="8" fontId="2" fillId="0" borderId="6" xfId="0" applyNumberFormat="1" applyFont="1" applyBorder="1"/>
    <xf numFmtId="0" fontId="2" fillId="0" borderId="7" xfId="0" applyFont="1" applyBorder="1"/>
    <xf numFmtId="0" fontId="2" fillId="0" borderId="8" xfId="0" applyFont="1" applyBorder="1"/>
    <xf numFmtId="14" fontId="2" fillId="0" borderId="8" xfId="0" applyNumberFormat="1" applyFont="1" applyBorder="1"/>
    <xf numFmtId="8" fontId="3" fillId="0" borderId="8" xfId="0" applyNumberFormat="1" applyFont="1" applyBorder="1"/>
    <xf numFmtId="8" fontId="2" fillId="0" borderId="8" xfId="0" applyNumberFormat="1" applyFont="1" applyBorder="1"/>
    <xf numFmtId="8" fontId="2" fillId="0" borderId="9" xfId="0" applyNumberFormat="1" applyFont="1" applyBorder="1"/>
    <xf numFmtId="0" fontId="4" fillId="0" borderId="10" xfId="0" applyFont="1" applyBorder="1"/>
    <xf numFmtId="0" fontId="3" fillId="0" borderId="10" xfId="0" applyFont="1" applyBorder="1"/>
    <xf numFmtId="0" fontId="3" fillId="3" borderId="0" xfId="0" applyFont="1" applyFill="1"/>
    <xf numFmtId="8" fontId="0" fillId="0" borderId="0" xfId="0" applyNumberFormat="1"/>
    <xf numFmtId="0" fontId="0" fillId="0" borderId="0" xfId="0" pivotButton="1"/>
    <xf numFmtId="0" fontId="0" fillId="4" borderId="0" xfId="0" applyFill="1"/>
    <xf numFmtId="0" fontId="5" fillId="2" borderId="11" xfId="0" applyFont="1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5" borderId="0" xfId="0" applyFill="1"/>
    <xf numFmtId="0" fontId="0" fillId="6" borderId="0" xfId="0" applyFill="1"/>
    <xf numFmtId="8" fontId="0" fillId="6" borderId="0" xfId="0" applyNumberFormat="1" applyFill="1"/>
    <xf numFmtId="0" fontId="0" fillId="7" borderId="0" xfId="0" applyFill="1"/>
    <xf numFmtId="8" fontId="0" fillId="7" borderId="0" xfId="0" applyNumberFormat="1" applyFill="1"/>
    <xf numFmtId="0" fontId="2" fillId="0" borderId="0" xfId="0" applyFont="1" applyFill="1"/>
    <xf numFmtId="0" fontId="2" fillId="6" borderId="14" xfId="0" applyFont="1" applyFill="1" applyBorder="1"/>
    <xf numFmtId="0" fontId="2" fillId="2" borderId="15" xfId="0" applyFont="1" applyFill="1" applyBorder="1"/>
    <xf numFmtId="0" fontId="2" fillId="4" borderId="15" xfId="0" applyFont="1" applyFill="1" applyBorder="1"/>
    <xf numFmtId="0" fontId="7" fillId="8" borderId="15" xfId="0" applyFont="1" applyFill="1" applyBorder="1"/>
    <xf numFmtId="0" fontId="3" fillId="5" borderId="16" xfId="0" applyFont="1" applyFill="1" applyBorder="1"/>
    <xf numFmtId="0" fontId="2" fillId="9" borderId="17" xfId="0" applyFont="1" applyFill="1" applyBorder="1"/>
    <xf numFmtId="0" fontId="2" fillId="10" borderId="18" xfId="0" applyFont="1" applyFill="1" applyBorder="1"/>
    <xf numFmtId="0" fontId="2" fillId="7" borderId="19" xfId="0" applyFont="1" applyFill="1" applyBorder="1"/>
    <xf numFmtId="0" fontId="0" fillId="4" borderId="22" xfId="0" applyFill="1" applyBorder="1"/>
    <xf numFmtId="0" fontId="0" fillId="4" borderId="20" xfId="0" applyFill="1" applyBorder="1"/>
    <xf numFmtId="0" fontId="0" fillId="11" borderId="0" xfId="0" applyFill="1"/>
    <xf numFmtId="0" fontId="9" fillId="11" borderId="0" xfId="0" applyFont="1" applyFill="1" applyBorder="1"/>
    <xf numFmtId="8" fontId="9" fillId="11" borderId="0" xfId="0" applyNumberFormat="1" applyFont="1" applyFill="1" applyBorder="1"/>
    <xf numFmtId="0" fontId="6" fillId="0" borderId="1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7" borderId="23" xfId="0" applyFont="1" applyFill="1" applyBorder="1" applyAlignment="1">
      <alignment horizontal="left"/>
    </xf>
    <xf numFmtId="8" fontId="0" fillId="11" borderId="0" xfId="0" applyNumberFormat="1" applyFill="1"/>
    <xf numFmtId="8" fontId="10" fillId="0" borderId="25" xfId="0" applyNumberFormat="1" applyFont="1" applyBorder="1"/>
    <xf numFmtId="8" fontId="11" fillId="6" borderId="24" xfId="0" applyNumberFormat="1" applyFont="1" applyFill="1" applyBorder="1" applyAlignment="1">
      <alignment horizontal="center" vertical="center"/>
    </xf>
    <xf numFmtId="0" fontId="12" fillId="8" borderId="26" xfId="0" applyFont="1" applyFill="1" applyBorder="1"/>
    <xf numFmtId="0" fontId="13" fillId="8" borderId="0" xfId="0" applyFont="1" applyFill="1" applyBorder="1" applyAlignment="1">
      <alignment horizontal="center" vertical="center"/>
    </xf>
    <xf numFmtId="0" fontId="12" fillId="8" borderId="27" xfId="0" applyFont="1" applyFill="1" applyBorder="1"/>
    <xf numFmtId="0" fontId="0" fillId="6" borderId="26" xfId="0" applyFill="1" applyBorder="1"/>
    <xf numFmtId="0" fontId="0" fillId="6" borderId="0" xfId="0" applyFill="1" applyBorder="1"/>
    <xf numFmtId="0" fontId="0" fillId="6" borderId="27" xfId="0" applyFill="1" applyBorder="1"/>
    <xf numFmtId="0" fontId="0" fillId="6" borderId="28" xfId="0" applyFill="1" applyBorder="1"/>
    <xf numFmtId="0" fontId="0" fillId="6" borderId="29" xfId="0" applyFill="1" applyBorder="1"/>
    <xf numFmtId="0" fontId="0" fillId="6" borderId="30" xfId="0" applyFill="1" applyBorder="1"/>
    <xf numFmtId="0" fontId="0" fillId="7" borderId="21" xfId="0" applyFill="1" applyBorder="1"/>
    <xf numFmtId="0" fontId="0" fillId="7" borderId="20" xfId="0" applyFill="1" applyBorder="1"/>
    <xf numFmtId="0" fontId="14" fillId="4" borderId="20" xfId="0" applyFont="1" applyFill="1" applyBorder="1" applyAlignment="1">
      <alignment horizontal="center"/>
    </xf>
    <xf numFmtId="0" fontId="15" fillId="8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left"/>
    </xf>
    <xf numFmtId="0" fontId="17" fillId="7" borderId="31" xfId="0" applyFont="1" applyFill="1" applyBorder="1" applyAlignment="1">
      <alignment horizontal="right"/>
    </xf>
    <xf numFmtId="0" fontId="17" fillId="7" borderId="31" xfId="0" applyFont="1" applyFill="1" applyBorder="1" applyAlignment="1">
      <alignment horizontal="left"/>
    </xf>
  </cellXfs>
  <cellStyles count="1">
    <cellStyle name="Normal" xfId="0" builtinId="0"/>
  </cellStyles>
  <dxfs count="58"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-0.499984740745262"/>
        </patternFill>
      </fill>
    </dxf>
    <dxf>
      <fill>
        <patternFill patternType="solid">
          <fgColor indexed="64"/>
          <bgColor theme="9" tint="-0.49998474074526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-0.499984740745262"/>
        </patternFill>
      </fill>
    </dxf>
    <dxf>
      <fill>
        <patternFill patternType="solid">
          <fgColor indexed="64"/>
          <bgColor theme="9" tint="-0.49998474074526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-0.499984740745262"/>
        </patternFill>
      </fill>
    </dxf>
    <dxf>
      <fill>
        <patternFill patternType="solid">
          <fgColor indexed="64"/>
          <bgColor theme="9" tint="-0.49998474074526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-0.499984740745262"/>
        </patternFill>
      </fill>
    </dxf>
    <dxf>
      <fill>
        <patternFill patternType="solid">
          <fgColor indexed="64"/>
          <bgColor theme="9" tint="-0.49998474074526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Xbox.xlsx]Cálculo!Tabela dinâmica2</c:name>
    <c:fmtId val="1"/>
  </c:pivotSource>
  <c:chart>
    <c:autoTitleDeleted val="1"/>
    <c:pivotFmts>
      <c:pivotFmt>
        <c:idx val="0"/>
        <c:spPr>
          <a:solidFill>
            <a:srgbClr val="A9D08E"/>
          </a:solidFill>
          <a:ln w="12700" cap="flat" cmpd="sng" algn="ctr">
            <a:solidFill>
              <a:srgbClr val="548235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9D08E"/>
            </a:solidFill>
            <a:ln w="12700" cap="flat" cmpd="sng" algn="ctr">
              <a:solidFill>
                <a:srgbClr val="548235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Cálculo!$B$8:$B$10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Cálculo!$C$8:$C$10</c:f>
              <c:numCache>
                <c:formatCode>"R$"#,##0.00_);[Red]\("R$"#,##0.00\)</c:formatCode>
                <c:ptCount val="2"/>
                <c:pt idx="0">
                  <c:v>1836</c:v>
                </c:pt>
                <c:pt idx="1">
                  <c:v>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44-4674-A8F4-C85862991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5"/>
        <c:axId val="352021000"/>
        <c:axId val="352025608"/>
      </c:barChart>
      <c:catAx>
        <c:axId val="352021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352025608"/>
        <c:crosses val="autoZero"/>
        <c:auto val="1"/>
        <c:lblAlgn val="ctr"/>
        <c:lblOffset val="100"/>
        <c:noMultiLvlLbl val="0"/>
      </c:catAx>
      <c:valAx>
        <c:axId val="352025608"/>
        <c:scaling>
          <c:orientation val="minMax"/>
          <c:max val="1200"/>
        </c:scaling>
        <c:delete val="0"/>
        <c:axPos val="b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352021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Xbox.xlsx]Dashboard!Tabela dinâmica3</c:name>
    <c:fmtId val="12"/>
  </c:pivotSource>
  <c:chart>
    <c:autoTitleDeleted val="1"/>
    <c:pivotFmts>
      <c:pivotFmt>
        <c:idx val="0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562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Dashboard!$Z$8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7562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Dashboard!$Y$9:$Y$11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Dashboard!$Z$9:$Z$11</c:f>
              <c:numCache>
                <c:formatCode>"R$"#,##0.00_);[Red]\("R$"#,##0.00\)</c:formatCode>
                <c:ptCount val="2"/>
                <c:pt idx="0">
                  <c:v>1836</c:v>
                </c:pt>
                <c:pt idx="1">
                  <c:v>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8F-4D27-8D16-41AD082CD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2078855"/>
        <c:axId val="2032080903"/>
      </c:barChart>
      <c:catAx>
        <c:axId val="2032078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080903"/>
        <c:crosses val="autoZero"/>
        <c:auto val="1"/>
        <c:lblAlgn val="ctr"/>
        <c:lblOffset val="100"/>
        <c:noMultiLvlLbl val="0"/>
      </c:catAx>
      <c:valAx>
        <c:axId val="2032080903"/>
        <c:scaling>
          <c:orientation val="minMax"/>
        </c:scaling>
        <c:delete val="1"/>
        <c:axPos val="b"/>
        <c:numFmt formatCode="&quot;R$&quot;#,##0.00_);[Red]\(&quot;R$&quot;#,##0.00\)" sourceLinked="1"/>
        <c:majorTickMark val="none"/>
        <c:minorTickMark val="none"/>
        <c:tickLblPos val="nextTo"/>
        <c:crossAx val="2032078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4.jpeg"/><Relationship Id="rId1" Type="http://schemas.openxmlformats.org/officeDocument/2006/relationships/chart" Target="../charts/chart2.xml"/><Relationship Id="rId5" Type="http://schemas.openxmlformats.org/officeDocument/2006/relationships/image" Target="../media/image1.jpe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</xdr:colOff>
      <xdr:row>11</xdr:row>
      <xdr:rowOff>152400</xdr:rowOff>
    </xdr:from>
    <xdr:to>
      <xdr:col>10</xdr:col>
      <xdr:colOff>247650</xdr:colOff>
      <xdr:row>15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9665A9-CED6-7249-AF90-8DBCE49CF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3075" y="2324100"/>
          <a:ext cx="790575" cy="7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17</xdr:row>
      <xdr:rowOff>95250</xdr:rowOff>
    </xdr:from>
    <xdr:to>
      <xdr:col>4</xdr:col>
      <xdr:colOff>581025</xdr:colOff>
      <xdr:row>19</xdr:row>
      <xdr:rowOff>161925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A0E82C2-E7CE-FCC6-D958-8C46EB13BDC7}"/>
            </a:ext>
            <a:ext uri="{147F2762-F138-4A5C-976F-8EAC2B608ADB}">
              <a16:predDERef xmlns:a16="http://schemas.microsoft.com/office/drawing/2014/main" pred="{0F9665A9-CED6-7249-AF90-8DBCE49CF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1531" b="39286"/>
        <a:stretch>
          <a:fillRect/>
        </a:stretch>
      </xdr:blipFill>
      <xdr:spPr>
        <a:xfrm>
          <a:off x="685800" y="3409950"/>
          <a:ext cx="2333625" cy="447675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533400</xdr:colOff>
      <xdr:row>11</xdr:row>
      <xdr:rowOff>76200</xdr:rowOff>
    </xdr:from>
    <xdr:to>
      <xdr:col>12</xdr:col>
      <xdr:colOff>142875</xdr:colOff>
      <xdr:row>15</xdr:row>
      <xdr:rowOff>142875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CCDBCB7-F06D-8C5D-1A7D-8DF5C1469F14}"/>
            </a:ext>
            <a:ext uri="{147F2762-F138-4A5C-976F-8EAC2B608ADB}">
              <a16:predDERef xmlns:a16="http://schemas.microsoft.com/office/drawing/2014/main" pred="{6A0E82C2-E7CE-FCC6-D958-8C46EB13B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29400" y="2247900"/>
          <a:ext cx="828675" cy="828675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11</xdr:row>
      <xdr:rowOff>57150</xdr:rowOff>
    </xdr:from>
    <xdr:to>
      <xdr:col>7</xdr:col>
      <xdr:colOff>552450</xdr:colOff>
      <xdr:row>13</xdr:row>
      <xdr:rowOff>133350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976A6DA-FB74-3F58-B062-40A469CF1821}"/>
            </a:ext>
            <a:ext uri="{147F2762-F138-4A5C-976F-8EAC2B608ADB}">
              <a16:predDERef xmlns:a16="http://schemas.microsoft.com/office/drawing/2014/main" pred="{3CCDBCB7-F06D-8C5D-1A7D-8DF5C1469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30556" b="33611"/>
        <a:stretch>
          <a:fillRect/>
        </a:stretch>
      </xdr:blipFill>
      <xdr:spPr>
        <a:xfrm>
          <a:off x="2514600" y="2228850"/>
          <a:ext cx="2305050" cy="457200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14</xdr:row>
      <xdr:rowOff>85725</xdr:rowOff>
    </xdr:from>
    <xdr:to>
      <xdr:col>7</xdr:col>
      <xdr:colOff>57150</xdr:colOff>
      <xdr:row>19</xdr:row>
      <xdr:rowOff>114300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9F963C9-4E40-F998-72FF-B54483DECFBA}"/>
            </a:ext>
            <a:ext uri="{147F2762-F138-4A5C-976F-8EAC2B608ADB}">
              <a16:predDERef xmlns:a16="http://schemas.microsoft.com/office/drawing/2014/main" pred="{8976A6DA-FB74-3F58-B062-40A469CF1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10313" t="17190" r="13940" b="17504"/>
        <a:stretch>
          <a:fillRect/>
        </a:stretch>
      </xdr:blipFill>
      <xdr:spPr>
        <a:xfrm>
          <a:off x="3181350" y="2828925"/>
          <a:ext cx="1143000" cy="981075"/>
        </a:xfrm>
        <a:prstGeom prst="rect">
          <a:avLst/>
        </a:prstGeom>
      </xdr:spPr>
    </xdr:pic>
    <xdr:clientData/>
  </xdr:twoCellAnchor>
  <xdr:twoCellAnchor editAs="oneCell">
    <xdr:from>
      <xdr:col>12</xdr:col>
      <xdr:colOff>542925</xdr:colOff>
      <xdr:row>12</xdr:row>
      <xdr:rowOff>114300</xdr:rowOff>
    </xdr:from>
    <xdr:to>
      <xdr:col>13</xdr:col>
      <xdr:colOff>180975</xdr:colOff>
      <xdr:row>14</xdr:row>
      <xdr:rowOff>142875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B2071633-4CA2-9BD8-CE3B-EB9E4392F743}"/>
            </a:ext>
            <a:ext uri="{147F2762-F138-4A5C-976F-8EAC2B608ADB}">
              <a16:predDERef xmlns:a16="http://schemas.microsoft.com/office/drawing/2014/main" pred="{19F963C9-4E40-F998-72FF-B54483DEC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18524" t="5347" r="25972" b="3247"/>
        <a:stretch>
          <a:fillRect/>
        </a:stretch>
      </xdr:blipFill>
      <xdr:spPr>
        <a:xfrm>
          <a:off x="7858125" y="2476500"/>
          <a:ext cx="247650" cy="40957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13</xdr:row>
      <xdr:rowOff>161925</xdr:rowOff>
    </xdr:from>
    <xdr:to>
      <xdr:col>4</xdr:col>
      <xdr:colOff>409575</xdr:colOff>
      <xdr:row>16</xdr:row>
      <xdr:rowOff>114300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2A92695A-34B5-D011-548D-139A699BD32C}"/>
            </a:ext>
            <a:ext uri="{147F2762-F138-4A5C-976F-8EAC2B608ADB}">
              <a16:predDERef xmlns:a16="http://schemas.microsoft.com/office/drawing/2014/main" pred="{B2071633-4CA2-9BD8-CE3B-EB9E4392F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t="30556" r="3901" b="27778"/>
        <a:stretch>
          <a:fillRect/>
        </a:stretch>
      </xdr:blipFill>
      <xdr:spPr>
        <a:xfrm>
          <a:off x="695325" y="2714625"/>
          <a:ext cx="2152650" cy="523875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15</xdr:row>
      <xdr:rowOff>180975</xdr:rowOff>
    </xdr:from>
    <xdr:to>
      <xdr:col>11</xdr:col>
      <xdr:colOff>266700</xdr:colOff>
      <xdr:row>19</xdr:row>
      <xdr:rowOff>142875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5829788D-3AAE-8434-737D-60400E928B59}"/>
            </a:ext>
            <a:ext uri="{147F2762-F138-4A5C-976F-8EAC2B608ADB}">
              <a16:predDERef xmlns:a16="http://schemas.microsoft.com/office/drawing/2014/main" pred="{2A92695A-34B5-D011-548D-139A699BD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28368" t="2920" r="31510" b="49880"/>
        <a:stretch>
          <a:fillRect/>
        </a:stretch>
      </xdr:blipFill>
      <xdr:spPr>
        <a:xfrm>
          <a:off x="6248400" y="3114675"/>
          <a:ext cx="723900" cy="723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0</xdr:row>
      <xdr:rowOff>0</xdr:rowOff>
    </xdr:from>
    <xdr:to>
      <xdr:col>16</xdr:col>
      <xdr:colOff>371475</xdr:colOff>
      <xdr:row>13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DB4F48-A1FB-FEED-5CF9-A52229A39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704850</xdr:colOff>
      <xdr:row>34</xdr:row>
      <xdr:rowOff>104775</xdr:rowOff>
    </xdr:from>
    <xdr:to>
      <xdr:col>2</xdr:col>
      <xdr:colOff>1409700</xdr:colOff>
      <xdr:row>48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425B1AA6-4108-945C-4F06-7EDA4DBB9F90}"/>
                </a:ext>
                <a:ext uri="{147F2762-F138-4A5C-976F-8EAC2B608ADB}">
                  <a16:predDERef xmlns:a16="http://schemas.microsoft.com/office/drawing/2014/main" pred="{1ADB4F48-A1FB-FEED-5CF9-A52229A39B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4450" y="6324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504825</xdr:colOff>
      <xdr:row>0</xdr:row>
      <xdr:rowOff>76200</xdr:rowOff>
    </xdr:from>
    <xdr:to>
      <xdr:col>8</xdr:col>
      <xdr:colOff>504825</xdr:colOff>
      <xdr:row>13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 1">
              <a:extLst>
                <a:ext uri="{FF2B5EF4-FFF2-40B4-BE49-F238E27FC236}">
                  <a16:creationId xmlns:a16="http://schemas.microsoft.com/office/drawing/2014/main" id="{6BB968DD-65E5-89ED-D844-36F763DC99BA}"/>
                </a:ext>
                <a:ext uri="{147F2762-F138-4A5C-976F-8EAC2B608ADB}">
                  <a16:predDERef xmlns:a16="http://schemas.microsoft.com/office/drawing/2014/main" pred="{425B1AA6-4108-945C-4F06-7EDA4DBB9F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67475" y="76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9</xdr:row>
      <xdr:rowOff>295275</xdr:rowOff>
    </xdr:from>
    <xdr:to>
      <xdr:col>9</xdr:col>
      <xdr:colOff>0</xdr:colOff>
      <xdr:row>23</xdr:row>
      <xdr:rowOff>57150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D229C7A-BDA6-D211-ECC6-C44802BE9D31}"/>
            </a:ext>
            <a:ext uri="{147F2762-F138-4A5C-976F-8EAC2B608ADB}">
              <a16:predDERef xmlns:a16="http://schemas.microsoft.com/office/drawing/2014/main" pred="{D1C67375-220A-4EEE-AA15-3FFD433BE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9525</xdr:colOff>
      <xdr:row>6</xdr:row>
      <xdr:rowOff>76200</xdr:rowOff>
    </xdr:from>
    <xdr:to>
      <xdr:col>0</xdr:col>
      <xdr:colOff>2028825</xdr:colOff>
      <xdr:row>12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Subscription Type 2">
              <a:extLst>
                <a:ext uri="{FF2B5EF4-FFF2-40B4-BE49-F238E27FC236}">
                  <a16:creationId xmlns:a16="http://schemas.microsoft.com/office/drawing/2014/main" id="{FA12438C-0F38-8343-0641-9AE8084702D3}"/>
                </a:ext>
                <a:ext uri="{147F2762-F138-4A5C-976F-8EAC2B608ADB}">
                  <a16:predDERef xmlns:a16="http://schemas.microsoft.com/office/drawing/2014/main" pred="{DD229C7A-BDA6-D211-ECC6-C44802BE9D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562100"/>
              <a:ext cx="2019300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26</xdr:col>
      <xdr:colOff>47625</xdr:colOff>
      <xdr:row>4</xdr:row>
      <xdr:rowOff>66675</xdr:rowOff>
    </xdr:from>
    <xdr:to>
      <xdr:col>29</xdr:col>
      <xdr:colOff>333375</xdr:colOff>
      <xdr:row>7</xdr:row>
      <xdr:rowOff>76200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E8EAD520-938B-0C6C-95EB-C6CDE438B736}"/>
            </a:ext>
            <a:ext uri="{147F2762-F138-4A5C-976F-8EAC2B608ADB}">
              <a16:predDERef xmlns:a16="http://schemas.microsoft.com/office/drawing/2014/main" pred="{FA12438C-0F38-8343-0641-9AE8084702D3}"/>
            </a:ext>
          </a:extLst>
        </xdr:cNvPr>
        <xdr:cNvSpPr/>
      </xdr:nvSpPr>
      <xdr:spPr>
        <a:xfrm>
          <a:off x="20897850" y="1133475"/>
          <a:ext cx="2114550" cy="781050"/>
        </a:xfrm>
        <a:prstGeom prst="roundRect">
          <a:avLst/>
        </a:prstGeom>
        <a:noFill/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6</xdr:col>
      <xdr:colOff>781050</xdr:colOff>
      <xdr:row>4</xdr:row>
      <xdr:rowOff>19050</xdr:rowOff>
    </xdr:from>
    <xdr:to>
      <xdr:col>8</xdr:col>
      <xdr:colOff>104775</xdr:colOff>
      <xdr:row>4</xdr:row>
      <xdr:rowOff>323850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414F4402-73FF-4CEA-8CFD-793CDC31215D}"/>
            </a:ext>
            <a:ext uri="{147F2762-F138-4A5C-976F-8EAC2B608ADB}">
              <a16:predDERef xmlns:a16="http://schemas.microsoft.com/office/drawing/2014/main" pred="{8C1EE792-767B-471C-8A17-F3C971896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30556" b="33611"/>
        <a:stretch>
          <a:fillRect/>
        </a:stretch>
      </xdr:blipFill>
      <xdr:spPr>
        <a:xfrm>
          <a:off x="6886575" y="1276350"/>
          <a:ext cx="1552575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790575</xdr:colOff>
      <xdr:row>4</xdr:row>
      <xdr:rowOff>19050</xdr:rowOff>
    </xdr:from>
    <xdr:to>
      <xdr:col>4</xdr:col>
      <xdr:colOff>161925</xdr:colOff>
      <xdr:row>4</xdr:row>
      <xdr:rowOff>371475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D6EBFAAC-6416-4763-AB33-660C5F2335DB}"/>
            </a:ext>
            <a:ext uri="{147F2762-F138-4A5C-976F-8EAC2B608ADB}">
              <a16:predDERef xmlns:a16="http://schemas.microsoft.com/office/drawing/2014/main" pred="{414F4402-73FF-4CEA-8CFD-793CDC312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30556" r="3901" b="27778"/>
        <a:stretch>
          <a:fillRect/>
        </a:stretch>
      </xdr:blipFill>
      <xdr:spPr>
        <a:xfrm>
          <a:off x="3448050" y="1276350"/>
          <a:ext cx="1485900" cy="35242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0</xdr:row>
      <xdr:rowOff>190500</xdr:rowOff>
    </xdr:from>
    <xdr:to>
      <xdr:col>2</xdr:col>
      <xdr:colOff>276225</xdr:colOff>
      <xdr:row>1</xdr:row>
      <xdr:rowOff>47625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9A00352-5837-41DE-A929-CE303AC764B1}"/>
            </a:ext>
            <a:ext uri="{147F2762-F138-4A5C-976F-8EAC2B608ADB}">
              <a16:predDERef xmlns:a16="http://schemas.microsoft.com/office/drawing/2014/main" pred="{D6EBFAAC-6416-4763-AB33-660C5F233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28368" t="2920" r="31510" b="49880"/>
        <a:stretch>
          <a:fillRect/>
        </a:stretch>
      </xdr:blipFill>
      <xdr:spPr>
        <a:xfrm>
          <a:off x="2295525" y="190500"/>
          <a:ext cx="390525" cy="390525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0</xdr:row>
      <xdr:rowOff>161925</xdr:rowOff>
    </xdr:from>
    <xdr:to>
      <xdr:col>0</xdr:col>
      <xdr:colOff>1590675</xdr:colOff>
      <xdr:row>3</xdr:row>
      <xdr:rowOff>323850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672375D9-78E9-4AD9-B93C-B95B2784715C}"/>
            </a:ext>
            <a:ext uri="{147F2762-F138-4A5C-976F-8EAC2B608ADB}">
              <a16:predDERef xmlns:a16="http://schemas.microsoft.com/office/drawing/2014/main" pred="{09A00352-5837-41DE-A929-CE303AC76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4350" y="161925"/>
          <a:ext cx="1076325" cy="10763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7.409031134259" createdVersion="8" refreshedVersion="8" minRefreshableVersion="3" recordCount="98" xr:uid="{5188AFE5-65F7-4621-A5AD-1EC9E7A22BD4}">
  <cacheSource type="worksheet">
    <worksheetSource ref="A1:M99" sheet="Dados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 count="95">
        <s v="João Silva"/>
        <s v="Ana Souza"/>
        <s v="Camila Ribeiro"/>
        <s v="Sofia Almeida"/>
        <s v="Marco Túlio"/>
        <s v="Fernanda Lima"/>
        <s v="Cesar Oliveira"/>
        <s v="Gabriela Santos"/>
        <s v="Joaquim Barbosa"/>
        <s v="Nicole Costa"/>
        <s v="Raquel Alves"/>
        <s v="Vinicius Lima"/>
        <s v="Bruno Cavalheiro"/>
        <s v="Eunice Lima"/>
        <s v="Hélio Castro"/>
        <s v="Kléber Oliveira"/>
        <s v="Nilo Peçanha"/>
        <s v="Quirino Gonçalves"/>
        <s v="Tiago Ramos"/>
        <s v="William Siqueira"/>
        <s v="Zacarias Alves"/>
        <s v="Carla Bruni"/>
        <s v="Fábio Nobre"/>
        <s v="Ivan Carvalho"/>
        <s v="Lucas Mendes"/>
        <s v="Otávio Barros"/>
        <s v="Raquel Novaes"/>
        <s v="Ulysses Guimarães"/>
        <s v="Ximena Rocha"/>
        <s v="Alan Teixeira"/>
        <s v="Daniela Moura"/>
        <s v="Geraldo Ribeiro"/>
        <s v="João Pedro Almeida"/>
        <s v="Marcelo Gouveia"/>
        <s v="Patrícia Alves"/>
        <s v="Ulisses Tavares"/>
        <s v="Xavier Nascimento"/>
        <s v="Amanda Lopes"/>
        <s v="Diogo Souza"/>
        <s v="João Marcelo"/>
        <s v="Nadia Costa"/>
        <s v="Quênia Barros"/>
        <s v="Tiago Mendes"/>
        <s v="Waldir Junior"/>
        <s v="Zacarias Nunes"/>
        <s v="Carlos Eduardo"/>
        <s v="Fabiano Gomes"/>
        <s v="Igor Martins"/>
        <s v="Luciana Santos"/>
        <s v="Oscar Ribeiro"/>
        <s v="Renata Machado"/>
        <s v="Ulysses Pereira"/>
        <s v="Xuxa Meneghel"/>
        <s v="André Lima"/>
        <s v="Guilherme Souza"/>
        <s v="João Carvalho"/>
        <s v="Nina Pacheco"/>
        <s v="Raquel Domingos"/>
        <s v="Ulysses Farias"/>
        <s v="Ximena Barros"/>
        <s v="André Lopes"/>
        <s v="Daniela Araújo"/>
        <s v="Gabriel Teixeira"/>
        <s v="Joana Silveira"/>
        <s v="Nicolas Borges"/>
        <s v="Raquel Andrade"/>
        <s v="Ursula Monteiro"/>
        <s v="Xavier Almeida"/>
        <s v="Amanda Costa"/>
        <s v="Diogo Martins"/>
        <s v="Gabriel Santos"/>
        <s v="Marcos Vinícius"/>
        <s v="Patrícia Leite"/>
        <s v="Sandra Gouveia"/>
        <s v="Vanessa Andrade"/>
        <s v="Yasmin Figueira"/>
        <s v="Bruno Santos"/>
        <s v="Elisa Neves"/>
        <s v="Hélio Costa"/>
        <s v="Klara Silva"/>
        <s v="Natália Soares"/>
        <s v="Quirino Neto"/>
        <s v="Sandro Almeida"/>
        <s v="Valéria Lima"/>
        <s v="Ygor Farias"/>
        <s v="Bruno Costa"/>
        <s v="Elisa Correia"/>
        <s v="Henrique Gonçalves"/>
        <s v="Klara Fonseca"/>
        <s v="Natália Castro"/>
        <s v="Quentin Nogueira"/>
        <s v="Tânia Machado"/>
        <s v="William Carvalho"/>
        <s v="Zacarias Duarte"/>
        <s v="Carla Siqueira"/>
      </sharedItems>
    </cacheField>
    <cacheField name="Plan" numFmtId="0">
      <sharedItems count="1">
        <s v="Ultimate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8">
      <sharedItems containsSemiMixedTypes="0" containsString="0" containsNumber="1" containsInteger="1" minValue="15" maxValue="15"/>
    </cacheField>
    <cacheField name="Subscription Type" numFmtId="0">
      <sharedItems count="3">
        <s v="Monthly"/>
        <s v="Quarterly"/>
        <s v="Annual"/>
      </sharedItems>
    </cacheField>
    <cacheField name="EA Play Season Pass" numFmtId="0">
      <sharedItems/>
    </cacheField>
    <cacheField name="EA Play Season Pass_x000a_Price" numFmtId="8">
      <sharedItems containsSemiMixedTypes="0" containsString="0" containsNumber="1" containsInteger="1" minValue="30" maxValue="30" count="1">
        <n v="30"/>
      </sharedItems>
    </cacheField>
    <cacheField name="Minecraft Season Pass" numFmtId="0">
      <sharedItems/>
    </cacheField>
    <cacheField name="Minecraft Season Pass Price" numFmtId="8">
      <sharedItems containsSemiMixedTypes="0" containsString="0" containsNumber="1" containsInteger="1" minValue="20" maxValue="20"/>
    </cacheField>
    <cacheField name="Coupon Value" numFmtId="8">
      <sharedItems containsSemiMixedTypes="0" containsString="0" containsNumber="1" containsInteger="1" minValue="3" maxValue="20"/>
    </cacheField>
    <cacheField name="Total Value" numFmtId="8">
      <sharedItems containsSemiMixedTypes="0" containsString="0" containsNumber="1" containsInteger="1" minValue="45" maxValue="62"/>
    </cacheField>
  </cacheFields>
  <extLst>
    <ext xmlns:x14="http://schemas.microsoft.com/office/spreadsheetml/2009/9/main" uri="{725AE2AE-9491-48be-B2B4-4EB974FC3084}">
      <x14:pivotCacheDefinition pivotCacheId="6288213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3231"/>
    <x v="0"/>
    <x v="0"/>
    <d v="2024-01-01T00:00:00"/>
    <x v="0"/>
    <n v="15"/>
    <x v="0"/>
    <s v="Yes"/>
    <x v="0"/>
    <s v="Yes"/>
    <n v="20"/>
    <n v="5"/>
    <n v="60"/>
  </r>
  <r>
    <n v="3234"/>
    <x v="1"/>
    <x v="0"/>
    <d v="2024-02-20T00:00:00"/>
    <x v="1"/>
    <n v="15"/>
    <x v="0"/>
    <s v="Yes"/>
    <x v="0"/>
    <s v="Yes"/>
    <n v="20"/>
    <n v="3"/>
    <n v="62"/>
  </r>
  <r>
    <n v="3237"/>
    <x v="2"/>
    <x v="0"/>
    <d v="2024-03-03T00:00:00"/>
    <x v="0"/>
    <n v="15"/>
    <x v="1"/>
    <s v="Yes"/>
    <x v="0"/>
    <s v="Yes"/>
    <n v="20"/>
    <n v="10"/>
    <n v="55"/>
  </r>
  <r>
    <n v="3239"/>
    <x v="3"/>
    <x v="0"/>
    <d v="2024-03-05T00:00:00"/>
    <x v="1"/>
    <n v="15"/>
    <x v="0"/>
    <s v="Yes"/>
    <x v="0"/>
    <s v="Yes"/>
    <n v="20"/>
    <n v="5"/>
    <n v="60"/>
  </r>
  <r>
    <n v="3242"/>
    <x v="4"/>
    <x v="0"/>
    <d v="2024-03-08T00:00:00"/>
    <x v="0"/>
    <n v="15"/>
    <x v="2"/>
    <s v="Yes"/>
    <x v="0"/>
    <s v="Yes"/>
    <n v="20"/>
    <n v="20"/>
    <n v="45"/>
  </r>
  <r>
    <n v="3245"/>
    <x v="5"/>
    <x v="0"/>
    <d v="2024-03-11T00:00:00"/>
    <x v="1"/>
    <n v="15"/>
    <x v="0"/>
    <s v="Yes"/>
    <x v="0"/>
    <s v="Yes"/>
    <n v="20"/>
    <n v="8"/>
    <n v="57"/>
  </r>
  <r>
    <n v="3248"/>
    <x v="6"/>
    <x v="0"/>
    <d v="2024-03-14T00:00:00"/>
    <x v="0"/>
    <n v="15"/>
    <x v="1"/>
    <s v="Yes"/>
    <x v="0"/>
    <s v="Yes"/>
    <n v="20"/>
    <n v="7"/>
    <n v="58"/>
  </r>
  <r>
    <n v="3251"/>
    <x v="7"/>
    <x v="0"/>
    <d v="2024-03-17T00:00:00"/>
    <x v="1"/>
    <n v="15"/>
    <x v="0"/>
    <s v="Yes"/>
    <x v="0"/>
    <s v="Yes"/>
    <n v="20"/>
    <n v="3"/>
    <n v="62"/>
  </r>
  <r>
    <n v="3254"/>
    <x v="8"/>
    <x v="0"/>
    <d v="2024-03-20T00:00:00"/>
    <x v="0"/>
    <n v="15"/>
    <x v="2"/>
    <s v="Yes"/>
    <x v="0"/>
    <s v="Yes"/>
    <n v="20"/>
    <n v="20"/>
    <n v="45"/>
  </r>
  <r>
    <n v="3257"/>
    <x v="9"/>
    <x v="0"/>
    <d v="2024-03-23T00:00:00"/>
    <x v="1"/>
    <n v="15"/>
    <x v="0"/>
    <s v="Yes"/>
    <x v="0"/>
    <s v="Yes"/>
    <n v="20"/>
    <n v="5"/>
    <n v="60"/>
  </r>
  <r>
    <n v="3260"/>
    <x v="10"/>
    <x v="0"/>
    <d v="2024-03-26T00:00:00"/>
    <x v="0"/>
    <n v="15"/>
    <x v="1"/>
    <s v="Yes"/>
    <x v="0"/>
    <s v="Yes"/>
    <n v="20"/>
    <n v="7"/>
    <n v="58"/>
  </r>
  <r>
    <n v="3263"/>
    <x v="11"/>
    <x v="0"/>
    <d v="2024-03-29T00:00:00"/>
    <x v="1"/>
    <n v="15"/>
    <x v="0"/>
    <s v="Yes"/>
    <x v="0"/>
    <s v="Yes"/>
    <n v="20"/>
    <n v="3"/>
    <n v="62"/>
  </r>
  <r>
    <n v="3267"/>
    <x v="12"/>
    <x v="0"/>
    <d v="2024-04-02T00:00:00"/>
    <x v="1"/>
    <n v="15"/>
    <x v="1"/>
    <s v="Yes"/>
    <x v="0"/>
    <s v="Yes"/>
    <n v="20"/>
    <n v="7"/>
    <n v="58"/>
  </r>
  <r>
    <n v="3270"/>
    <x v="13"/>
    <x v="0"/>
    <d v="2024-04-05T00:00:00"/>
    <x v="0"/>
    <n v="15"/>
    <x v="0"/>
    <s v="Yes"/>
    <x v="0"/>
    <s v="Yes"/>
    <n v="20"/>
    <n v="15"/>
    <n v="50"/>
  </r>
  <r>
    <n v="3273"/>
    <x v="14"/>
    <x v="0"/>
    <d v="2024-04-08T00:00:00"/>
    <x v="1"/>
    <n v="15"/>
    <x v="1"/>
    <s v="Yes"/>
    <x v="0"/>
    <s v="Yes"/>
    <n v="20"/>
    <n v="20"/>
    <n v="45"/>
  </r>
  <r>
    <n v="3276"/>
    <x v="15"/>
    <x v="0"/>
    <d v="2024-04-11T00:00:00"/>
    <x v="0"/>
    <n v="15"/>
    <x v="2"/>
    <s v="Yes"/>
    <x v="0"/>
    <s v="Yes"/>
    <n v="20"/>
    <n v="5"/>
    <n v="60"/>
  </r>
  <r>
    <n v="3279"/>
    <x v="16"/>
    <x v="0"/>
    <d v="2024-04-14T00:00:00"/>
    <x v="1"/>
    <n v="15"/>
    <x v="0"/>
    <s v="Yes"/>
    <x v="0"/>
    <s v="Yes"/>
    <n v="20"/>
    <n v="3"/>
    <n v="62"/>
  </r>
  <r>
    <n v="3282"/>
    <x v="17"/>
    <x v="0"/>
    <d v="2024-04-17T00:00:00"/>
    <x v="0"/>
    <n v="15"/>
    <x v="1"/>
    <s v="Yes"/>
    <x v="0"/>
    <s v="Yes"/>
    <n v="20"/>
    <n v="7"/>
    <n v="58"/>
  </r>
  <r>
    <n v="3285"/>
    <x v="18"/>
    <x v="0"/>
    <d v="2024-04-20T00:00:00"/>
    <x v="1"/>
    <n v="15"/>
    <x v="0"/>
    <s v="Yes"/>
    <x v="0"/>
    <s v="Yes"/>
    <n v="20"/>
    <n v="20"/>
    <n v="45"/>
  </r>
  <r>
    <n v="3288"/>
    <x v="19"/>
    <x v="0"/>
    <d v="2024-04-23T00:00:00"/>
    <x v="0"/>
    <n v="15"/>
    <x v="2"/>
    <s v="Yes"/>
    <x v="0"/>
    <s v="Yes"/>
    <n v="20"/>
    <n v="3"/>
    <n v="62"/>
  </r>
  <r>
    <n v="3291"/>
    <x v="20"/>
    <x v="0"/>
    <d v="2024-04-26T00:00:00"/>
    <x v="1"/>
    <n v="15"/>
    <x v="0"/>
    <s v="Yes"/>
    <x v="0"/>
    <s v="Yes"/>
    <n v="20"/>
    <n v="5"/>
    <n v="60"/>
  </r>
  <r>
    <n v="3294"/>
    <x v="21"/>
    <x v="0"/>
    <d v="2024-04-29T00:00:00"/>
    <x v="0"/>
    <n v="15"/>
    <x v="1"/>
    <s v="Yes"/>
    <x v="0"/>
    <s v="Yes"/>
    <n v="20"/>
    <n v="20"/>
    <n v="45"/>
  </r>
  <r>
    <n v="3297"/>
    <x v="22"/>
    <x v="0"/>
    <d v="2024-05-02T00:00:00"/>
    <x v="0"/>
    <n v="15"/>
    <x v="1"/>
    <s v="Yes"/>
    <x v="0"/>
    <s v="Yes"/>
    <n v="20"/>
    <n v="7"/>
    <n v="58"/>
  </r>
  <r>
    <n v="3300"/>
    <x v="23"/>
    <x v="0"/>
    <d v="2024-05-05T00:00:00"/>
    <x v="1"/>
    <n v="15"/>
    <x v="0"/>
    <s v="Yes"/>
    <x v="0"/>
    <s v="Yes"/>
    <n v="20"/>
    <n v="15"/>
    <n v="50"/>
  </r>
  <r>
    <n v="3303"/>
    <x v="24"/>
    <x v="0"/>
    <d v="2024-05-08T00:00:00"/>
    <x v="0"/>
    <n v="15"/>
    <x v="1"/>
    <s v="Yes"/>
    <x v="0"/>
    <s v="Yes"/>
    <n v="20"/>
    <n v="20"/>
    <n v="45"/>
  </r>
  <r>
    <n v="3306"/>
    <x v="25"/>
    <x v="0"/>
    <d v="2024-05-11T00:00:00"/>
    <x v="1"/>
    <n v="15"/>
    <x v="2"/>
    <s v="Yes"/>
    <x v="0"/>
    <s v="Yes"/>
    <n v="20"/>
    <n v="5"/>
    <n v="60"/>
  </r>
  <r>
    <n v="3309"/>
    <x v="26"/>
    <x v="0"/>
    <d v="2024-05-14T00:00:00"/>
    <x v="0"/>
    <n v="15"/>
    <x v="0"/>
    <s v="Yes"/>
    <x v="0"/>
    <s v="Yes"/>
    <n v="20"/>
    <n v="3"/>
    <n v="62"/>
  </r>
  <r>
    <n v="3312"/>
    <x v="27"/>
    <x v="0"/>
    <d v="2024-05-17T00:00:00"/>
    <x v="1"/>
    <n v="15"/>
    <x v="1"/>
    <s v="Yes"/>
    <x v="0"/>
    <s v="Yes"/>
    <n v="20"/>
    <n v="7"/>
    <n v="58"/>
  </r>
  <r>
    <n v="3315"/>
    <x v="28"/>
    <x v="0"/>
    <d v="2024-05-20T00:00:00"/>
    <x v="0"/>
    <n v="15"/>
    <x v="0"/>
    <s v="Yes"/>
    <x v="0"/>
    <s v="Yes"/>
    <n v="20"/>
    <n v="20"/>
    <n v="45"/>
  </r>
  <r>
    <n v="3318"/>
    <x v="29"/>
    <x v="0"/>
    <d v="2024-05-23T00:00:00"/>
    <x v="1"/>
    <n v="15"/>
    <x v="2"/>
    <s v="Yes"/>
    <x v="0"/>
    <s v="Yes"/>
    <n v="20"/>
    <n v="3"/>
    <n v="62"/>
  </r>
  <r>
    <n v="3321"/>
    <x v="30"/>
    <x v="0"/>
    <d v="2024-05-26T00:00:00"/>
    <x v="0"/>
    <n v="15"/>
    <x v="0"/>
    <s v="Yes"/>
    <x v="0"/>
    <s v="Yes"/>
    <n v="20"/>
    <n v="5"/>
    <n v="60"/>
  </r>
  <r>
    <n v="3324"/>
    <x v="31"/>
    <x v="0"/>
    <d v="2024-05-29T00:00:00"/>
    <x v="1"/>
    <n v="15"/>
    <x v="1"/>
    <s v="Yes"/>
    <x v="0"/>
    <s v="Yes"/>
    <n v="20"/>
    <n v="20"/>
    <n v="45"/>
  </r>
  <r>
    <n v="3327"/>
    <x v="32"/>
    <x v="0"/>
    <d v="2024-06-01T00:00:00"/>
    <x v="0"/>
    <n v="15"/>
    <x v="0"/>
    <s v="Yes"/>
    <x v="0"/>
    <s v="Yes"/>
    <n v="20"/>
    <n v="7"/>
    <n v="58"/>
  </r>
  <r>
    <n v="3330"/>
    <x v="33"/>
    <x v="0"/>
    <d v="2024-06-04T00:00:00"/>
    <x v="1"/>
    <n v="15"/>
    <x v="0"/>
    <s v="Yes"/>
    <x v="0"/>
    <s v="Yes"/>
    <n v="20"/>
    <n v="15"/>
    <n v="50"/>
  </r>
  <r>
    <n v="3333"/>
    <x v="34"/>
    <x v="0"/>
    <d v="2024-06-07T00:00:00"/>
    <x v="0"/>
    <n v="15"/>
    <x v="1"/>
    <s v="Yes"/>
    <x v="0"/>
    <s v="Yes"/>
    <n v="20"/>
    <n v="20"/>
    <n v="45"/>
  </r>
  <r>
    <n v="3337"/>
    <x v="35"/>
    <x v="0"/>
    <d v="2024-06-11T00:00:00"/>
    <x v="1"/>
    <n v="15"/>
    <x v="1"/>
    <s v="Yes"/>
    <x v="0"/>
    <s v="Yes"/>
    <n v="20"/>
    <n v="7"/>
    <n v="58"/>
  </r>
  <r>
    <n v="3340"/>
    <x v="36"/>
    <x v="0"/>
    <d v="2024-06-14T00:00:00"/>
    <x v="0"/>
    <n v="15"/>
    <x v="0"/>
    <s v="Yes"/>
    <x v="0"/>
    <s v="Yes"/>
    <n v="20"/>
    <n v="15"/>
    <n v="50"/>
  </r>
  <r>
    <n v="3343"/>
    <x v="37"/>
    <x v="0"/>
    <d v="2024-06-17T00:00:00"/>
    <x v="1"/>
    <n v="15"/>
    <x v="1"/>
    <s v="Yes"/>
    <x v="0"/>
    <s v="Yes"/>
    <n v="20"/>
    <n v="20"/>
    <n v="45"/>
  </r>
  <r>
    <n v="3346"/>
    <x v="38"/>
    <x v="0"/>
    <d v="2024-06-20T00:00:00"/>
    <x v="0"/>
    <n v="15"/>
    <x v="2"/>
    <s v="Yes"/>
    <x v="0"/>
    <s v="Yes"/>
    <n v="20"/>
    <n v="5"/>
    <n v="60"/>
  </r>
  <r>
    <n v="3349"/>
    <x v="31"/>
    <x v="0"/>
    <d v="2024-06-23T00:00:00"/>
    <x v="1"/>
    <n v="15"/>
    <x v="0"/>
    <s v="Yes"/>
    <x v="0"/>
    <s v="Yes"/>
    <n v="20"/>
    <n v="3"/>
    <n v="62"/>
  </r>
  <r>
    <n v="3352"/>
    <x v="39"/>
    <x v="0"/>
    <d v="2024-06-26T00:00:00"/>
    <x v="0"/>
    <n v="15"/>
    <x v="1"/>
    <s v="Yes"/>
    <x v="0"/>
    <s v="Yes"/>
    <n v="20"/>
    <n v="7"/>
    <n v="58"/>
  </r>
  <r>
    <n v="3355"/>
    <x v="40"/>
    <x v="0"/>
    <d v="2024-06-29T00:00:00"/>
    <x v="1"/>
    <n v="15"/>
    <x v="0"/>
    <s v="Yes"/>
    <x v="0"/>
    <s v="Yes"/>
    <n v="20"/>
    <n v="20"/>
    <n v="45"/>
  </r>
  <r>
    <n v="3358"/>
    <x v="41"/>
    <x v="0"/>
    <d v="2024-07-02T00:00:00"/>
    <x v="0"/>
    <n v="15"/>
    <x v="2"/>
    <s v="Yes"/>
    <x v="0"/>
    <s v="Yes"/>
    <n v="20"/>
    <n v="3"/>
    <n v="62"/>
  </r>
  <r>
    <n v="3361"/>
    <x v="42"/>
    <x v="0"/>
    <d v="2024-07-05T00:00:00"/>
    <x v="1"/>
    <n v="15"/>
    <x v="0"/>
    <s v="Yes"/>
    <x v="0"/>
    <s v="Yes"/>
    <n v="20"/>
    <n v="15"/>
    <n v="50"/>
  </r>
  <r>
    <n v="3364"/>
    <x v="43"/>
    <x v="0"/>
    <d v="2024-07-08T00:00:00"/>
    <x v="0"/>
    <n v="15"/>
    <x v="1"/>
    <s v="Yes"/>
    <x v="0"/>
    <s v="Yes"/>
    <n v="20"/>
    <n v="7"/>
    <n v="58"/>
  </r>
  <r>
    <n v="3367"/>
    <x v="44"/>
    <x v="0"/>
    <d v="2024-07-11T00:00:00"/>
    <x v="1"/>
    <n v="15"/>
    <x v="1"/>
    <s v="Yes"/>
    <x v="0"/>
    <s v="Yes"/>
    <n v="20"/>
    <n v="7"/>
    <n v="58"/>
  </r>
  <r>
    <n v="3370"/>
    <x v="45"/>
    <x v="0"/>
    <d v="2024-07-14T00:00:00"/>
    <x v="0"/>
    <n v="15"/>
    <x v="0"/>
    <s v="Yes"/>
    <x v="0"/>
    <s v="Yes"/>
    <n v="20"/>
    <n v="15"/>
    <n v="50"/>
  </r>
  <r>
    <n v="3373"/>
    <x v="46"/>
    <x v="0"/>
    <d v="2024-07-17T00:00:00"/>
    <x v="1"/>
    <n v="15"/>
    <x v="1"/>
    <s v="Yes"/>
    <x v="0"/>
    <s v="Yes"/>
    <n v="20"/>
    <n v="20"/>
    <n v="45"/>
  </r>
  <r>
    <n v="3376"/>
    <x v="47"/>
    <x v="0"/>
    <d v="2024-07-20T00:00:00"/>
    <x v="0"/>
    <n v="15"/>
    <x v="2"/>
    <s v="Yes"/>
    <x v="0"/>
    <s v="Yes"/>
    <n v="20"/>
    <n v="5"/>
    <n v="60"/>
  </r>
  <r>
    <n v="3379"/>
    <x v="48"/>
    <x v="0"/>
    <d v="2024-07-23T00:00:00"/>
    <x v="1"/>
    <n v="15"/>
    <x v="0"/>
    <s v="Yes"/>
    <x v="0"/>
    <s v="Yes"/>
    <n v="20"/>
    <n v="3"/>
    <n v="62"/>
  </r>
  <r>
    <n v="3382"/>
    <x v="49"/>
    <x v="0"/>
    <d v="2024-07-26T00:00:00"/>
    <x v="0"/>
    <n v="15"/>
    <x v="1"/>
    <s v="Yes"/>
    <x v="0"/>
    <s v="Yes"/>
    <n v="20"/>
    <n v="7"/>
    <n v="58"/>
  </r>
  <r>
    <n v="3385"/>
    <x v="50"/>
    <x v="0"/>
    <d v="2024-07-29T00:00:00"/>
    <x v="1"/>
    <n v="15"/>
    <x v="0"/>
    <s v="Yes"/>
    <x v="0"/>
    <s v="Yes"/>
    <n v="20"/>
    <n v="20"/>
    <n v="45"/>
  </r>
  <r>
    <n v="3388"/>
    <x v="51"/>
    <x v="0"/>
    <d v="2024-08-01T00:00:00"/>
    <x v="0"/>
    <n v="15"/>
    <x v="2"/>
    <s v="Yes"/>
    <x v="0"/>
    <s v="Yes"/>
    <n v="20"/>
    <n v="3"/>
    <n v="62"/>
  </r>
  <r>
    <n v="3391"/>
    <x v="52"/>
    <x v="0"/>
    <d v="2024-08-04T00:00:00"/>
    <x v="1"/>
    <n v="15"/>
    <x v="0"/>
    <s v="Yes"/>
    <x v="0"/>
    <s v="Yes"/>
    <n v="20"/>
    <n v="15"/>
    <n v="50"/>
  </r>
  <r>
    <n v="3394"/>
    <x v="53"/>
    <x v="0"/>
    <d v="2024-08-07T00:00:00"/>
    <x v="0"/>
    <n v="15"/>
    <x v="1"/>
    <s v="Yes"/>
    <x v="0"/>
    <s v="Yes"/>
    <n v="20"/>
    <n v="7"/>
    <n v="58"/>
  </r>
  <r>
    <n v="3397"/>
    <x v="30"/>
    <x v="0"/>
    <d v="2024-08-10T00:00:00"/>
    <x v="1"/>
    <n v="15"/>
    <x v="0"/>
    <s v="Yes"/>
    <x v="0"/>
    <s v="Yes"/>
    <n v="20"/>
    <n v="20"/>
    <n v="45"/>
  </r>
  <r>
    <n v="3400"/>
    <x v="54"/>
    <x v="0"/>
    <d v="2024-08-13T00:00:00"/>
    <x v="0"/>
    <n v="15"/>
    <x v="2"/>
    <s v="Yes"/>
    <x v="0"/>
    <s v="Yes"/>
    <n v="20"/>
    <n v="5"/>
    <n v="60"/>
  </r>
  <r>
    <n v="3403"/>
    <x v="55"/>
    <x v="0"/>
    <d v="2024-08-16T00:00:00"/>
    <x v="1"/>
    <n v="15"/>
    <x v="0"/>
    <s v="Yes"/>
    <x v="0"/>
    <s v="Yes"/>
    <n v="20"/>
    <n v="3"/>
    <n v="62"/>
  </r>
  <r>
    <n v="3407"/>
    <x v="56"/>
    <x v="0"/>
    <d v="2024-08-20T00:00:00"/>
    <x v="1"/>
    <n v="15"/>
    <x v="1"/>
    <s v="Yes"/>
    <x v="0"/>
    <s v="Yes"/>
    <n v="20"/>
    <n v="7"/>
    <n v="58"/>
  </r>
  <r>
    <n v="3410"/>
    <x v="57"/>
    <x v="0"/>
    <d v="2024-08-23T00:00:00"/>
    <x v="0"/>
    <n v="15"/>
    <x v="0"/>
    <s v="Yes"/>
    <x v="0"/>
    <s v="Yes"/>
    <n v="20"/>
    <n v="15"/>
    <n v="50"/>
  </r>
  <r>
    <n v="3413"/>
    <x v="58"/>
    <x v="0"/>
    <d v="2024-08-26T00:00:00"/>
    <x v="1"/>
    <n v="15"/>
    <x v="1"/>
    <s v="Yes"/>
    <x v="0"/>
    <s v="Yes"/>
    <n v="20"/>
    <n v="20"/>
    <n v="45"/>
  </r>
  <r>
    <n v="3416"/>
    <x v="59"/>
    <x v="0"/>
    <d v="2024-08-29T00:00:00"/>
    <x v="0"/>
    <n v="15"/>
    <x v="2"/>
    <s v="Yes"/>
    <x v="0"/>
    <s v="Yes"/>
    <n v="20"/>
    <n v="5"/>
    <n v="60"/>
  </r>
  <r>
    <n v="3419"/>
    <x v="60"/>
    <x v="0"/>
    <d v="2024-09-01T00:00:00"/>
    <x v="1"/>
    <n v="15"/>
    <x v="0"/>
    <s v="Yes"/>
    <x v="0"/>
    <s v="Yes"/>
    <n v="20"/>
    <n v="3"/>
    <n v="62"/>
  </r>
  <r>
    <n v="3422"/>
    <x v="61"/>
    <x v="0"/>
    <d v="2024-09-04T00:00:00"/>
    <x v="0"/>
    <n v="15"/>
    <x v="1"/>
    <s v="Yes"/>
    <x v="0"/>
    <s v="Yes"/>
    <n v="20"/>
    <n v="7"/>
    <n v="58"/>
  </r>
  <r>
    <n v="3425"/>
    <x v="62"/>
    <x v="0"/>
    <d v="2024-09-07T00:00:00"/>
    <x v="1"/>
    <n v="15"/>
    <x v="0"/>
    <s v="Yes"/>
    <x v="0"/>
    <s v="Yes"/>
    <n v="20"/>
    <n v="20"/>
    <n v="45"/>
  </r>
  <r>
    <n v="3428"/>
    <x v="63"/>
    <x v="0"/>
    <d v="2024-09-10T00:00:00"/>
    <x v="0"/>
    <n v="15"/>
    <x v="2"/>
    <s v="Yes"/>
    <x v="0"/>
    <s v="Yes"/>
    <n v="20"/>
    <n v="3"/>
    <n v="62"/>
  </r>
  <r>
    <n v="3431"/>
    <x v="64"/>
    <x v="0"/>
    <d v="2024-09-13T00:00:00"/>
    <x v="1"/>
    <n v="15"/>
    <x v="0"/>
    <s v="Yes"/>
    <x v="0"/>
    <s v="Yes"/>
    <n v="20"/>
    <n v="15"/>
    <n v="50"/>
  </r>
  <r>
    <n v="3434"/>
    <x v="65"/>
    <x v="0"/>
    <d v="2024-09-16T00:00:00"/>
    <x v="0"/>
    <n v="15"/>
    <x v="1"/>
    <s v="Yes"/>
    <x v="0"/>
    <s v="Yes"/>
    <n v="20"/>
    <n v="7"/>
    <n v="58"/>
  </r>
  <r>
    <n v="3437"/>
    <x v="66"/>
    <x v="0"/>
    <d v="2024-09-19T00:00:00"/>
    <x v="1"/>
    <n v="15"/>
    <x v="1"/>
    <s v="Yes"/>
    <x v="0"/>
    <s v="Yes"/>
    <n v="20"/>
    <n v="7"/>
    <n v="58"/>
  </r>
  <r>
    <n v="3440"/>
    <x v="67"/>
    <x v="0"/>
    <d v="2024-09-22T00:00:00"/>
    <x v="0"/>
    <n v="15"/>
    <x v="0"/>
    <s v="Yes"/>
    <x v="0"/>
    <s v="Yes"/>
    <n v="20"/>
    <n v="15"/>
    <n v="50"/>
  </r>
  <r>
    <n v="3443"/>
    <x v="68"/>
    <x v="0"/>
    <d v="2024-09-25T00:00:00"/>
    <x v="1"/>
    <n v="15"/>
    <x v="1"/>
    <s v="Yes"/>
    <x v="0"/>
    <s v="Yes"/>
    <n v="20"/>
    <n v="20"/>
    <n v="45"/>
  </r>
  <r>
    <n v="3446"/>
    <x v="69"/>
    <x v="0"/>
    <d v="2024-09-28T00:00:00"/>
    <x v="0"/>
    <n v="15"/>
    <x v="2"/>
    <s v="Yes"/>
    <x v="0"/>
    <s v="Yes"/>
    <n v="20"/>
    <n v="5"/>
    <n v="60"/>
  </r>
  <r>
    <n v="3449"/>
    <x v="70"/>
    <x v="0"/>
    <d v="2024-10-01T00:00:00"/>
    <x v="1"/>
    <n v="15"/>
    <x v="0"/>
    <s v="Yes"/>
    <x v="0"/>
    <s v="Yes"/>
    <n v="20"/>
    <n v="3"/>
    <n v="62"/>
  </r>
  <r>
    <n v="3452"/>
    <x v="63"/>
    <x v="0"/>
    <d v="2024-10-04T00:00:00"/>
    <x v="0"/>
    <n v="15"/>
    <x v="1"/>
    <s v="Yes"/>
    <x v="0"/>
    <s v="Yes"/>
    <n v="20"/>
    <n v="7"/>
    <n v="58"/>
  </r>
  <r>
    <n v="3455"/>
    <x v="71"/>
    <x v="0"/>
    <d v="2024-10-07T00:00:00"/>
    <x v="1"/>
    <n v="15"/>
    <x v="0"/>
    <s v="Yes"/>
    <x v="0"/>
    <s v="Yes"/>
    <n v="20"/>
    <n v="20"/>
    <n v="45"/>
  </r>
  <r>
    <n v="3458"/>
    <x v="72"/>
    <x v="0"/>
    <d v="2024-10-10T00:00:00"/>
    <x v="0"/>
    <n v="15"/>
    <x v="2"/>
    <s v="Yes"/>
    <x v="0"/>
    <s v="Yes"/>
    <n v="20"/>
    <n v="3"/>
    <n v="62"/>
  </r>
  <r>
    <n v="3461"/>
    <x v="73"/>
    <x v="0"/>
    <d v="2024-10-13T00:00:00"/>
    <x v="1"/>
    <n v="15"/>
    <x v="0"/>
    <s v="Yes"/>
    <x v="0"/>
    <s v="Yes"/>
    <n v="20"/>
    <n v="15"/>
    <n v="50"/>
  </r>
  <r>
    <n v="3464"/>
    <x v="74"/>
    <x v="0"/>
    <d v="2024-10-16T00:00:00"/>
    <x v="0"/>
    <n v="15"/>
    <x v="1"/>
    <s v="Yes"/>
    <x v="0"/>
    <s v="Yes"/>
    <n v="20"/>
    <n v="7"/>
    <n v="58"/>
  </r>
  <r>
    <n v="3467"/>
    <x v="75"/>
    <x v="0"/>
    <d v="2024-10-19T00:00:00"/>
    <x v="1"/>
    <n v="15"/>
    <x v="0"/>
    <s v="Yes"/>
    <x v="0"/>
    <s v="Yes"/>
    <n v="20"/>
    <n v="15"/>
    <n v="50"/>
  </r>
  <r>
    <n v="3470"/>
    <x v="76"/>
    <x v="0"/>
    <d v="2024-10-22T00:00:00"/>
    <x v="0"/>
    <n v="15"/>
    <x v="2"/>
    <s v="Yes"/>
    <x v="0"/>
    <s v="Yes"/>
    <n v="20"/>
    <n v="5"/>
    <n v="60"/>
  </r>
  <r>
    <n v="3473"/>
    <x v="77"/>
    <x v="0"/>
    <d v="2024-10-25T00:00:00"/>
    <x v="1"/>
    <n v="15"/>
    <x v="0"/>
    <s v="Yes"/>
    <x v="0"/>
    <s v="Yes"/>
    <n v="20"/>
    <n v="3"/>
    <n v="62"/>
  </r>
  <r>
    <n v="3476"/>
    <x v="78"/>
    <x v="0"/>
    <d v="2024-10-28T00:00:00"/>
    <x v="0"/>
    <n v="15"/>
    <x v="1"/>
    <s v="Yes"/>
    <x v="0"/>
    <s v="Yes"/>
    <n v="20"/>
    <n v="7"/>
    <n v="58"/>
  </r>
  <r>
    <n v="3479"/>
    <x v="79"/>
    <x v="0"/>
    <d v="2024-10-31T00:00:00"/>
    <x v="1"/>
    <n v="15"/>
    <x v="0"/>
    <s v="Yes"/>
    <x v="0"/>
    <s v="Yes"/>
    <n v="20"/>
    <n v="20"/>
    <n v="45"/>
  </r>
  <r>
    <n v="3482"/>
    <x v="80"/>
    <x v="0"/>
    <d v="2024-11-03T00:00:00"/>
    <x v="0"/>
    <n v="15"/>
    <x v="2"/>
    <s v="Yes"/>
    <x v="0"/>
    <s v="Yes"/>
    <n v="20"/>
    <n v="3"/>
    <n v="62"/>
  </r>
  <r>
    <n v="3485"/>
    <x v="81"/>
    <x v="0"/>
    <d v="2024-11-06T00:00:00"/>
    <x v="1"/>
    <n v="15"/>
    <x v="0"/>
    <s v="Yes"/>
    <x v="0"/>
    <s v="Yes"/>
    <n v="20"/>
    <n v="15"/>
    <n v="50"/>
  </r>
  <r>
    <n v="3487"/>
    <x v="82"/>
    <x v="0"/>
    <d v="2024-11-08T00:00:00"/>
    <x v="1"/>
    <n v="15"/>
    <x v="1"/>
    <s v="Yes"/>
    <x v="0"/>
    <s v="Yes"/>
    <n v="20"/>
    <n v="7"/>
    <n v="58"/>
  </r>
  <r>
    <n v="3490"/>
    <x v="83"/>
    <x v="0"/>
    <d v="2024-11-11T00:00:00"/>
    <x v="0"/>
    <n v="15"/>
    <x v="0"/>
    <s v="Yes"/>
    <x v="0"/>
    <s v="Yes"/>
    <n v="20"/>
    <n v="15"/>
    <n v="50"/>
  </r>
  <r>
    <n v="3493"/>
    <x v="84"/>
    <x v="0"/>
    <d v="2024-11-14T00:00:00"/>
    <x v="1"/>
    <n v="15"/>
    <x v="1"/>
    <s v="Yes"/>
    <x v="0"/>
    <s v="Yes"/>
    <n v="20"/>
    <n v="20"/>
    <n v="45"/>
  </r>
  <r>
    <n v="3496"/>
    <x v="85"/>
    <x v="0"/>
    <d v="2024-11-17T00:00:00"/>
    <x v="0"/>
    <n v="15"/>
    <x v="2"/>
    <s v="Yes"/>
    <x v="0"/>
    <s v="Yes"/>
    <n v="20"/>
    <n v="5"/>
    <n v="60"/>
  </r>
  <r>
    <n v="3499"/>
    <x v="86"/>
    <x v="0"/>
    <d v="2024-11-20T00:00:00"/>
    <x v="1"/>
    <n v="15"/>
    <x v="0"/>
    <s v="Yes"/>
    <x v="0"/>
    <s v="Yes"/>
    <n v="20"/>
    <n v="3"/>
    <n v="62"/>
  </r>
  <r>
    <n v="3502"/>
    <x v="87"/>
    <x v="0"/>
    <d v="2024-11-23T00:00:00"/>
    <x v="0"/>
    <n v="15"/>
    <x v="1"/>
    <s v="Yes"/>
    <x v="0"/>
    <s v="Yes"/>
    <n v="20"/>
    <n v="7"/>
    <n v="58"/>
  </r>
  <r>
    <n v="3505"/>
    <x v="88"/>
    <x v="0"/>
    <d v="2024-11-26T00:00:00"/>
    <x v="1"/>
    <n v="15"/>
    <x v="0"/>
    <s v="Yes"/>
    <x v="0"/>
    <s v="Yes"/>
    <n v="20"/>
    <n v="20"/>
    <n v="45"/>
  </r>
  <r>
    <n v="3508"/>
    <x v="89"/>
    <x v="0"/>
    <d v="2024-11-29T00:00:00"/>
    <x v="0"/>
    <n v="15"/>
    <x v="2"/>
    <s v="Yes"/>
    <x v="0"/>
    <s v="Yes"/>
    <n v="20"/>
    <n v="3"/>
    <n v="62"/>
  </r>
  <r>
    <n v="3511"/>
    <x v="90"/>
    <x v="0"/>
    <d v="2024-12-02T00:00:00"/>
    <x v="1"/>
    <n v="15"/>
    <x v="0"/>
    <s v="Yes"/>
    <x v="0"/>
    <s v="Yes"/>
    <n v="20"/>
    <n v="15"/>
    <n v="50"/>
  </r>
  <r>
    <n v="3514"/>
    <x v="91"/>
    <x v="0"/>
    <d v="2024-12-05T00:00:00"/>
    <x v="0"/>
    <n v="15"/>
    <x v="1"/>
    <s v="Yes"/>
    <x v="0"/>
    <s v="Yes"/>
    <n v="20"/>
    <n v="7"/>
    <n v="58"/>
  </r>
  <r>
    <n v="3517"/>
    <x v="92"/>
    <x v="0"/>
    <d v="2024-12-08T00:00:00"/>
    <x v="1"/>
    <n v="15"/>
    <x v="0"/>
    <s v="Yes"/>
    <x v="0"/>
    <s v="Yes"/>
    <n v="20"/>
    <n v="20"/>
    <n v="45"/>
  </r>
  <r>
    <n v="3520"/>
    <x v="93"/>
    <x v="0"/>
    <d v="2024-12-11T00:00:00"/>
    <x v="0"/>
    <n v="15"/>
    <x v="2"/>
    <s v="Yes"/>
    <x v="0"/>
    <s v="Yes"/>
    <n v="20"/>
    <n v="5"/>
    <n v="60"/>
  </r>
  <r>
    <n v="3523"/>
    <x v="94"/>
    <x v="0"/>
    <d v="2024-12-14T00:00:00"/>
    <x v="1"/>
    <n v="15"/>
    <x v="0"/>
    <s v="Yes"/>
    <x v="0"/>
    <s v="Yes"/>
    <n v="2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A91C0-EB9B-4F3A-A02E-3347A7B1D8E9}" name="minecraft" cacheId="5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6">
  <location ref="B26:C28" firstHeaderRow="1" firstDataRow="1" firstDataCol="1" rowPageCount="1" colPageCount="1"/>
  <pivotFields count="13">
    <pivotField compact="0" outline="0" showAll="0"/>
    <pivotField compact="0" outline="0" showAll="0">
      <items count="96">
        <item x="29"/>
        <item x="68"/>
        <item x="37"/>
        <item x="1"/>
        <item x="53"/>
        <item x="60"/>
        <item x="12"/>
        <item x="85"/>
        <item x="76"/>
        <item x="2"/>
        <item x="21"/>
        <item x="94"/>
        <item x="45"/>
        <item x="6"/>
        <item x="61"/>
        <item x="30"/>
        <item x="69"/>
        <item x="38"/>
        <item x="86"/>
        <item x="77"/>
        <item x="13"/>
        <item x="46"/>
        <item x="22"/>
        <item x="5"/>
        <item x="70"/>
        <item x="62"/>
        <item x="7"/>
        <item x="31"/>
        <item x="54"/>
        <item x="14"/>
        <item x="78"/>
        <item x="87"/>
        <item x="47"/>
        <item x="23"/>
        <item x="63"/>
        <item x="55"/>
        <item x="39"/>
        <item x="32"/>
        <item x="0"/>
        <item x="8"/>
        <item x="88"/>
        <item x="79"/>
        <item x="15"/>
        <item x="24"/>
        <item x="48"/>
        <item x="33"/>
        <item x="4"/>
        <item x="71"/>
        <item x="40"/>
        <item x="89"/>
        <item x="80"/>
        <item x="64"/>
        <item x="9"/>
        <item x="16"/>
        <item x="56"/>
        <item x="49"/>
        <item x="25"/>
        <item x="34"/>
        <item x="72"/>
        <item x="41"/>
        <item x="90"/>
        <item x="17"/>
        <item x="81"/>
        <item x="10"/>
        <item x="65"/>
        <item x="57"/>
        <item x="26"/>
        <item x="50"/>
        <item x="73"/>
        <item x="82"/>
        <item x="3"/>
        <item x="91"/>
        <item x="42"/>
        <item x="18"/>
        <item x="35"/>
        <item x="58"/>
        <item x="27"/>
        <item x="51"/>
        <item x="66"/>
        <item x="83"/>
        <item x="74"/>
        <item x="11"/>
        <item x="43"/>
        <item x="92"/>
        <item x="19"/>
        <item x="67"/>
        <item x="36"/>
        <item x="59"/>
        <item x="28"/>
        <item x="52"/>
        <item x="75"/>
        <item x="84"/>
        <item x="20"/>
        <item x="93"/>
        <item x="44"/>
        <item t="default"/>
      </items>
    </pivotField>
    <pivotField axis="axisRow" compact="0" outline="0" showAll="0">
      <items count="2"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8" outline="0" showAll="0"/>
    <pivotField axis="axisPage" compact="0" outline="0" multipleItemSelectionAllowed="1" showAll="0">
      <items count="4">
        <item h="1" x="2"/>
        <item x="0"/>
        <item h="1" x="1"/>
        <item t="default"/>
      </items>
    </pivotField>
    <pivotField compact="0" outline="0" showAll="0"/>
    <pivotField compact="0" numFmtId="8" outline="0" showAll="0">
      <items count="2">
        <item x="0"/>
        <item t="default"/>
      </items>
    </pivotField>
    <pivotField compact="0" outline="0" showAll="0"/>
    <pivotField dataField="1" compact="0" numFmtId="8" outline="0" showAll="0"/>
    <pivotField compact="0" numFmtId="8" outline="0" showAll="0"/>
    <pivotField compact="0" numFmtId="8" outline="0" showAll="0"/>
  </pivotFields>
  <rowFields count="1">
    <field x="2"/>
  </rowFields>
  <rowItems count="2">
    <i>
      <x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8"/>
  </dataFields>
  <formats count="6">
    <format dxfId="52">
      <pivotArea field="6" type="button" dataOnly="0" labelOnly="1" outline="0" axis="axisPage" fieldPosition="0"/>
    </format>
    <format dxfId="53">
      <pivotArea dataOnly="0" labelOnly="1" outline="0" fieldPosition="0">
        <references count="1">
          <reference field="6" count="0"/>
        </references>
      </pivotArea>
    </format>
    <format dxfId="54">
      <pivotArea field="4" type="button" dataOnly="0" labelOnly="1" outline="0"/>
    </format>
    <format dxfId="55">
      <pivotArea dataOnly="0" labelOnly="1" outline="0" axis="axisValues" fieldPosition="0"/>
    </format>
    <format dxfId="56">
      <pivotArea grandRow="1" outline="0" collapsedLevelsAreSubtotals="1" fieldPosition="0"/>
    </format>
    <format dxfId="57">
      <pivotArea dataOnly="0" labelOnly="1" grandRow="1" outline="0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57F23-5FFB-4577-85E7-E6A4306180B3}" name="play" cacheId="5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6">
  <location ref="B18:C20" firstHeaderRow="1" firstDataRow="1" firstDataCol="1" rowPageCount="1" colPageCount="1"/>
  <pivotFields count="13">
    <pivotField compact="0" outline="0" showAll="0"/>
    <pivotField compact="0" outline="0" showAll="0">
      <items count="96">
        <item x="29"/>
        <item x="68"/>
        <item x="37"/>
        <item x="1"/>
        <item x="53"/>
        <item x="60"/>
        <item x="12"/>
        <item x="85"/>
        <item x="76"/>
        <item x="2"/>
        <item x="21"/>
        <item x="94"/>
        <item x="45"/>
        <item x="6"/>
        <item x="61"/>
        <item x="30"/>
        <item x="69"/>
        <item x="38"/>
        <item x="86"/>
        <item x="77"/>
        <item x="13"/>
        <item x="46"/>
        <item x="22"/>
        <item x="5"/>
        <item x="70"/>
        <item x="62"/>
        <item x="7"/>
        <item x="31"/>
        <item x="54"/>
        <item x="14"/>
        <item x="78"/>
        <item x="87"/>
        <item x="47"/>
        <item x="23"/>
        <item x="63"/>
        <item x="55"/>
        <item x="39"/>
        <item x="32"/>
        <item x="0"/>
        <item x="8"/>
        <item x="88"/>
        <item x="79"/>
        <item x="15"/>
        <item x="24"/>
        <item x="48"/>
        <item x="33"/>
        <item x="4"/>
        <item x="71"/>
        <item x="40"/>
        <item x="89"/>
        <item x="80"/>
        <item x="64"/>
        <item x="9"/>
        <item x="16"/>
        <item x="56"/>
        <item x="49"/>
        <item x="25"/>
        <item x="34"/>
        <item x="72"/>
        <item x="41"/>
        <item x="90"/>
        <item x="17"/>
        <item x="81"/>
        <item x="10"/>
        <item x="65"/>
        <item x="57"/>
        <item x="26"/>
        <item x="50"/>
        <item x="73"/>
        <item x="82"/>
        <item x="3"/>
        <item x="91"/>
        <item x="42"/>
        <item x="18"/>
        <item x="35"/>
        <item x="58"/>
        <item x="27"/>
        <item x="51"/>
        <item x="66"/>
        <item x="83"/>
        <item x="74"/>
        <item x="11"/>
        <item x="43"/>
        <item x="92"/>
        <item x="19"/>
        <item x="67"/>
        <item x="36"/>
        <item x="59"/>
        <item x="28"/>
        <item x="52"/>
        <item x="75"/>
        <item x="84"/>
        <item x="20"/>
        <item x="93"/>
        <item x="44"/>
        <item t="default"/>
      </items>
    </pivotField>
    <pivotField axis="axisRow" compact="0" outline="0" showAll="0">
      <items count="2"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8" outline="0" showAll="0"/>
    <pivotField axis="axisPage" compact="0" outline="0" multipleItemSelectionAllowed="1" showAll="0">
      <items count="4">
        <item h="1" x="2"/>
        <item x="0"/>
        <item h="1" x="1"/>
        <item t="default"/>
      </items>
    </pivotField>
    <pivotField compact="0" outline="0" showAll="0"/>
    <pivotField dataField="1" compact="0" numFmtId="8" outline="0" showAll="0">
      <items count="2">
        <item x="0"/>
        <item t="default"/>
      </items>
    </pivotField>
    <pivotField compact="0" outline="0" showAll="0"/>
    <pivotField compact="0" numFmtId="8" outline="0" showAll="0"/>
    <pivotField compact="0" numFmtId="8" outline="0" showAll="0"/>
    <pivotField compact="0" numFmtId="8" outline="0" showAll="0"/>
  </pivotFields>
  <rowFields count="1">
    <field x="2"/>
  </rowFields>
  <rowItems count="2">
    <i>
      <x/>
    </i>
    <i t="grand">
      <x/>
    </i>
  </rowItems>
  <colItems count="1">
    <i/>
  </colItems>
  <pageFields count="1">
    <pageField fld="6" hier="-1"/>
  </pageFields>
  <dataFields count="1">
    <dataField name="Soma de EA Play Season Pass_x000a_Price" fld="8" baseField="0" baseItem="0" numFmtId="8"/>
  </dataFields>
  <formats count="6">
    <format dxfId="46">
      <pivotArea field="6" type="button" dataOnly="0" labelOnly="1" outline="0" axis="axisPage" fieldPosition="0"/>
    </format>
    <format dxfId="47">
      <pivotArea dataOnly="0" labelOnly="1" outline="0" fieldPosition="0">
        <references count="1">
          <reference field="6" count="0"/>
        </references>
      </pivotArea>
    </format>
    <format dxfId="48">
      <pivotArea field="4" type="button" dataOnly="0" labelOnly="1" outline="0"/>
    </format>
    <format dxfId="49">
      <pivotArea dataOnly="0" labelOnly="1" outline="0" axis="axisValues" fieldPosition="0"/>
    </format>
    <format dxfId="50">
      <pivotArea grandRow="1" outline="0" collapsedLevelsAreSubtotals="1" fieldPosition="0"/>
    </format>
    <format dxfId="51">
      <pivotArea dataOnly="0" labelOnly="1" grandRow="1" outline="0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D17B8E-AD18-437C-BB08-E3D3A5CB3A34}" name="Tabela dinâmica2" cacheId="5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6">
  <location ref="B7:C10" firstHeaderRow="1" firstDataRow="1" firstDataCol="1" rowPageCount="1" colPageCount="1"/>
  <pivotFields count="13">
    <pivotField compact="0" outline="0" showAll="0"/>
    <pivotField compact="0" outline="0" showAll="0">
      <items count="96">
        <item x="29"/>
        <item x="68"/>
        <item x="37"/>
        <item x="1"/>
        <item x="53"/>
        <item x="60"/>
        <item x="12"/>
        <item x="85"/>
        <item x="76"/>
        <item x="2"/>
        <item x="21"/>
        <item x="94"/>
        <item x="45"/>
        <item x="6"/>
        <item x="61"/>
        <item x="30"/>
        <item x="69"/>
        <item x="38"/>
        <item x="86"/>
        <item x="77"/>
        <item x="13"/>
        <item x="46"/>
        <item x="22"/>
        <item x="5"/>
        <item x="70"/>
        <item x="62"/>
        <item x="7"/>
        <item x="31"/>
        <item x="54"/>
        <item x="14"/>
        <item x="78"/>
        <item x="87"/>
        <item x="47"/>
        <item x="23"/>
        <item x="63"/>
        <item x="55"/>
        <item x="39"/>
        <item x="32"/>
        <item x="0"/>
        <item x="8"/>
        <item x="88"/>
        <item x="79"/>
        <item x="15"/>
        <item x="24"/>
        <item x="48"/>
        <item x="33"/>
        <item x="4"/>
        <item x="71"/>
        <item x="40"/>
        <item x="89"/>
        <item x="80"/>
        <item x="64"/>
        <item x="9"/>
        <item x="16"/>
        <item x="56"/>
        <item x="49"/>
        <item x="25"/>
        <item x="34"/>
        <item x="72"/>
        <item x="41"/>
        <item x="90"/>
        <item x="17"/>
        <item x="81"/>
        <item x="10"/>
        <item x="65"/>
        <item x="57"/>
        <item x="26"/>
        <item x="50"/>
        <item x="73"/>
        <item x="82"/>
        <item x="3"/>
        <item x="91"/>
        <item x="42"/>
        <item x="18"/>
        <item x="35"/>
        <item x="58"/>
        <item x="27"/>
        <item x="51"/>
        <item x="66"/>
        <item x="83"/>
        <item x="74"/>
        <item x="11"/>
        <item x="43"/>
        <item x="92"/>
        <item x="19"/>
        <item x="67"/>
        <item x="36"/>
        <item x="59"/>
        <item x="28"/>
        <item x="52"/>
        <item x="75"/>
        <item x="84"/>
        <item x="20"/>
        <item x="93"/>
        <item x="44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8" outline="0" showAll="0"/>
    <pivotField axis="axisPage" compact="0" outline="0" multipleItemSelectionAllowed="1" showAll="0">
      <items count="4">
        <item h="1" x="2"/>
        <item x="0"/>
        <item h="1" x="1"/>
        <item t="default"/>
      </items>
    </pivotField>
    <pivotField compact="0" outline="0" showAll="0"/>
    <pivotField compact="0" numFmtId="8" outline="0" showAll="0"/>
    <pivotField compact="0" outline="0" showAll="0"/>
    <pivotField compact="0" numFmtId="8" outline="0" showAll="0"/>
    <pivotField compact="0" numFmtId="8" outline="0" showAll="0"/>
    <pivotField dataField="1" compact="0" numFmtId="8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8"/>
  </dataFields>
  <formats count="8">
    <format dxfId="38">
      <pivotArea field="6" type="button" dataOnly="0" labelOnly="1" outline="0" axis="axisPage" fieldPosition="0"/>
    </format>
    <format dxfId="39">
      <pivotArea dataOnly="0" labelOnly="1" outline="0" fieldPosition="0">
        <references count="1">
          <reference field="6" count="0"/>
        </references>
      </pivotArea>
    </format>
    <format dxfId="40">
      <pivotArea field="4" type="button" dataOnly="0" labelOnly="1" outline="0" axis="axisRow" fieldPosition="0"/>
    </format>
    <format dxfId="41">
      <pivotArea dataOnly="0" labelOnly="1" outline="0" axis="axisValues" fieldPosition="0"/>
    </format>
    <format dxfId="42">
      <pivotArea outline="0" fieldPosition="0">
        <references count="1">
          <reference field="4" count="0" selected="0"/>
        </references>
      </pivotArea>
    </format>
    <format dxfId="43">
      <pivotArea dataOnly="0" labelOnly="1" outline="0" fieldPosition="0">
        <references count="1">
          <reference field="4" count="0"/>
        </references>
      </pivotArea>
    </format>
    <format dxfId="44">
      <pivotArea grandRow="1" outline="0" collapsedLevelsAreSubtotals="1" fieldPosition="0"/>
    </format>
    <format dxfId="45">
      <pivotArea dataOnly="0" labelOnly="1" grandRow="1" outline="0" fieldPosition="0"/>
    </format>
  </format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CE2F7-A6B7-4B86-9EFC-C364B0DF7FB0}" name="Tabela dinâmica3" cacheId="5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3">
  <location ref="Y8:Z11" firstHeaderRow="1" firstDataRow="1" firstDataCol="1" rowPageCount="1" colPageCount="1"/>
  <pivotFields count="13">
    <pivotField compact="0" outline="0" showAll="0"/>
    <pivotField compact="0" outline="0" showAll="0">
      <items count="96">
        <item x="29"/>
        <item x="68"/>
        <item x="37"/>
        <item x="1"/>
        <item x="53"/>
        <item x="60"/>
        <item x="12"/>
        <item x="85"/>
        <item x="76"/>
        <item x="2"/>
        <item x="21"/>
        <item x="94"/>
        <item x="45"/>
        <item x="6"/>
        <item x="61"/>
        <item x="30"/>
        <item x="69"/>
        <item x="38"/>
        <item x="86"/>
        <item x="77"/>
        <item x="13"/>
        <item x="46"/>
        <item x="22"/>
        <item x="5"/>
        <item x="70"/>
        <item x="62"/>
        <item x="7"/>
        <item x="31"/>
        <item x="54"/>
        <item x="14"/>
        <item x="78"/>
        <item x="87"/>
        <item x="47"/>
        <item x="23"/>
        <item x="63"/>
        <item x="55"/>
        <item x="39"/>
        <item x="32"/>
        <item x="0"/>
        <item x="8"/>
        <item x="88"/>
        <item x="79"/>
        <item x="15"/>
        <item x="24"/>
        <item x="48"/>
        <item x="33"/>
        <item x="4"/>
        <item x="71"/>
        <item x="40"/>
        <item x="89"/>
        <item x="80"/>
        <item x="64"/>
        <item x="9"/>
        <item x="16"/>
        <item x="56"/>
        <item x="49"/>
        <item x="25"/>
        <item x="34"/>
        <item x="72"/>
        <item x="41"/>
        <item x="90"/>
        <item x="17"/>
        <item x="81"/>
        <item x="10"/>
        <item x="65"/>
        <item x="57"/>
        <item x="26"/>
        <item x="50"/>
        <item x="73"/>
        <item x="82"/>
        <item x="3"/>
        <item x="91"/>
        <item x="42"/>
        <item x="18"/>
        <item x="35"/>
        <item x="58"/>
        <item x="27"/>
        <item x="51"/>
        <item x="66"/>
        <item x="83"/>
        <item x="74"/>
        <item x="11"/>
        <item x="43"/>
        <item x="92"/>
        <item x="19"/>
        <item x="67"/>
        <item x="36"/>
        <item x="59"/>
        <item x="28"/>
        <item x="52"/>
        <item x="75"/>
        <item x="84"/>
        <item x="20"/>
        <item x="93"/>
        <item x="44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8" outline="0" showAll="0"/>
    <pivotField axis="axisPage" compact="0" outline="0" multipleItemSelectionAllowed="1" showAll="0">
      <items count="4">
        <item h="1" x="2"/>
        <item x="0"/>
        <item h="1" x="1"/>
        <item t="default"/>
      </items>
    </pivotField>
    <pivotField compact="0" outline="0" showAll="0"/>
    <pivotField compact="0" numFmtId="8" outline="0" showAll="0"/>
    <pivotField compact="0" outline="0" showAll="0"/>
    <pivotField compact="0" numFmtId="8" outline="0" showAll="0"/>
    <pivotField compact="0" numFmtId="8" outline="0" showAll="0"/>
    <pivotField dataField="1" compact="0" numFmtId="8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8"/>
  </dataFields>
  <formats count="38">
    <format dxfId="0">
      <pivotArea field="6" type="button" dataOnly="0" labelOnly="1" outline="0" axis="axisPage" fieldPosition="0"/>
    </format>
    <format dxfId="1">
      <pivotArea dataOnly="0" labelOnly="1" outline="0" fieldPosition="0">
        <references count="1">
          <reference field="6" count="0"/>
        </references>
      </pivotArea>
    </format>
    <format dxfId="2">
      <pivotArea field="4" type="button" dataOnly="0" labelOnly="1" outline="0" axis="axisRow" fieldPosition="0"/>
    </format>
    <format dxfId="3">
      <pivotArea dataOnly="0" labelOnly="1" outline="0" axis="axisValues" fieldPosition="0"/>
    </format>
    <format dxfId="4">
      <pivotArea outline="0" fieldPosition="0">
        <references count="1">
          <reference field="4" count="0" selected="0"/>
        </references>
      </pivotArea>
    </format>
    <format dxfId="5">
      <pivotArea dataOnly="0" labelOnly="1" outline="0" fieldPosition="0">
        <references count="1">
          <reference field="4" count="0"/>
        </references>
      </pivotArea>
    </format>
    <format dxfId="6">
      <pivotArea grandRow="1" outline="0" collapsedLevelsAreSubtotals="1" fieldPosition="0"/>
    </format>
    <format dxfId="7">
      <pivotArea dataOnly="0" labelOnly="1" grandRow="1" outline="0" fieldPosition="0"/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field="4" type="button" dataOnly="0" labelOnly="1" outline="0" axis="axisRow" fieldPosition="0"/>
    </format>
    <format dxfId="11">
      <pivotArea dataOnly="0" labelOnly="1" outline="0" fieldPosition="0">
        <references count="1">
          <reference field="4" count="0"/>
        </references>
      </pivotArea>
    </format>
    <format dxfId="12">
      <pivotArea dataOnly="0" labelOnly="1" grandRow="1" outline="0" fieldPosition="0"/>
    </format>
    <format dxfId="13">
      <pivotArea dataOnly="0" labelOnly="1" outline="0" axis="axisValues" fieldPosition="0"/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4" type="button" dataOnly="0" labelOnly="1" outline="0" axis="axisRow" fieldPosition="0"/>
    </format>
    <format dxfId="17">
      <pivotArea dataOnly="0" labelOnly="1" outline="0" fieldPosition="0">
        <references count="1">
          <reference field="4" count="0"/>
        </references>
      </pivotArea>
    </format>
    <format dxfId="18">
      <pivotArea dataOnly="0" labelOnly="1" grandRow="1" outline="0" fieldPosition="0"/>
    </format>
    <format dxfId="19">
      <pivotArea dataOnly="0" labelOnly="1" outline="0" axis="axisValues" fieldPosition="0"/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4" type="button" dataOnly="0" labelOnly="1" outline="0" axis="axisRow" fieldPosition="0"/>
    </format>
    <format dxfId="23">
      <pivotArea dataOnly="0" labelOnly="1" outline="0" fieldPosition="0">
        <references count="1">
          <reference field="4" count="0"/>
        </references>
      </pivotArea>
    </format>
    <format dxfId="24">
      <pivotArea dataOnly="0" labelOnly="1" grandRow="1" outline="0" fieldPosition="0"/>
    </format>
    <format dxfId="25">
      <pivotArea dataOnly="0" labelOnly="1" outline="0" axis="axisValues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4" type="button" dataOnly="0" labelOnly="1" outline="0" axis="axisRow" fieldPosition="0"/>
    </format>
    <format dxfId="29">
      <pivotArea dataOnly="0" labelOnly="1" outline="0" fieldPosition="0">
        <references count="1">
          <reference field="4" count="0"/>
        </references>
      </pivotArea>
    </format>
    <format dxfId="30">
      <pivotArea dataOnly="0" labelOnly="1" grandRow="1" outline="0" fieldPosition="0"/>
    </format>
    <format dxfId="31">
      <pivotArea dataOnly="0" labelOnly="1" outline="0" axis="axisValues" fieldPosition="0"/>
    </format>
    <format dxfId="32">
      <pivotArea type="all" dataOnly="0" outline="0" fieldPosition="0"/>
    </format>
    <format dxfId="33">
      <pivotArea outline="0" collapsedLevelsAreSubtotals="1" fieldPosition="0"/>
    </format>
    <format dxfId="34">
      <pivotArea field="4" type="button" dataOnly="0" labelOnly="1" outline="0" axis="axisRow" fieldPosition="0"/>
    </format>
    <format dxfId="35">
      <pivotArea dataOnly="0" labelOnly="1" outline="0" fieldPosition="0">
        <references count="1">
          <reference field="4" count="0"/>
        </references>
      </pivotArea>
    </format>
    <format dxfId="36">
      <pivotArea dataOnly="0" labelOnly="1" grandRow="1" outline="0" fieldPosition="0"/>
    </format>
    <format dxfId="37">
      <pivotArea dataOnly="0" labelOnly="1" outline="0" axis="axisValues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7CD5596-30C0-44D6-BFFA-7D4F6311DB15}" sourceName="Subscription Type">
  <pivotTables>
    <pivotTable tabId="3" name="play"/>
    <pivotTable tabId="3" name="Tabela dinâmica2"/>
    <pivotTable tabId="4" name="Tabela dinâmica3"/>
    <pivotTable tabId="3" name="minecraft"/>
  </pivotTables>
  <data>
    <tabular pivotCacheId="628821345">
      <items count="3">
        <i x="2"/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2A24C7-6D96-4217-A50B-69E0A1517845}" cache="SegmentaçãodeDados_Subscription_Type" caption="Subscription Type" style="SlicerStyleLight6" rowHeight="228600"/>
  <slicer name="Subscription Type 1" xr10:uid="{6859A6C1-C393-4BA4-A620-42E186487453}" cache="SegmentaçãodeDados_Subscription_Type" caption="Subscription Type" style="SlicerStyleLight6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2" xr10:uid="{B18E8C40-714D-4919-A296-C173385F4EEF}" cache="SegmentaçãodeDados_Subscription_Type" caption="Subscription Type" style="SlicerStyleLight6" lockedPosition="1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A814-EC6E-4EBC-BDCC-C9D24A18A3DF}">
  <dimension ref="A1:P33"/>
  <sheetViews>
    <sheetView showGridLines="0" workbookViewId="0">
      <selection activeCell="F5" sqref="F5"/>
    </sheetView>
  </sheetViews>
  <sheetFormatPr defaultRowHeight="15"/>
  <sheetData>
    <row r="1" spans="1:1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">
      <c r="A2" s="2"/>
      <c r="B2" s="19" t="s">
        <v>0</v>
      </c>
      <c r="C2" s="20"/>
      <c r="D2" s="20"/>
      <c r="E2" s="20"/>
      <c r="F2" s="20"/>
      <c r="G2" s="20"/>
      <c r="H2" s="20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2"/>
      <c r="B4" s="33"/>
      <c r="C4" s="38"/>
      <c r="D4" s="2"/>
      <c r="E4" s="32"/>
      <c r="F4" s="1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"/>
      <c r="B5" s="34"/>
      <c r="C5" s="39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/>
      <c r="B6" s="35"/>
      <c r="C6" s="40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"/>
      <c r="B7" s="36"/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2"/>
      <c r="B8" s="37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8">
      <c r="A11" s="2"/>
      <c r="B11" s="19" t="s">
        <v>1</v>
      </c>
      <c r="C11" s="20"/>
      <c r="D11" s="20"/>
      <c r="E11" s="20"/>
      <c r="F11" s="20"/>
      <c r="G11" s="20"/>
      <c r="H11" s="20"/>
      <c r="I11" s="2"/>
      <c r="J11" s="19" t="s">
        <v>2</v>
      </c>
      <c r="K11" s="20"/>
      <c r="L11" s="20"/>
      <c r="M11" s="20"/>
      <c r="N11" s="20"/>
      <c r="O11" s="20"/>
      <c r="P11" s="20"/>
    </row>
    <row r="12" spans="1:16">
      <c r="A12" s="2"/>
      <c r="B12" s="21"/>
      <c r="C12" s="21"/>
      <c r="D12" s="21"/>
      <c r="E12" s="21"/>
      <c r="F12" s="21"/>
      <c r="G12" s="21"/>
      <c r="H12" s="21"/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1"/>
      <c r="C13" s="21"/>
      <c r="D13" s="21"/>
      <c r="E13" s="21"/>
      <c r="F13" s="21"/>
      <c r="G13" s="21"/>
      <c r="H13" s="21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21"/>
      <c r="C14" s="21"/>
      <c r="D14" s="21"/>
      <c r="E14" s="21"/>
      <c r="F14" s="21"/>
      <c r="G14" s="21"/>
      <c r="H14" s="21"/>
      <c r="I14" s="2"/>
      <c r="J14" s="2"/>
      <c r="K14" s="2"/>
      <c r="L14" s="2"/>
      <c r="M14" s="2"/>
      <c r="N14" s="2"/>
      <c r="O14" s="2"/>
      <c r="P14" s="2"/>
    </row>
    <row r="15" spans="1:16">
      <c r="A15" s="2"/>
      <c r="B15" s="21"/>
      <c r="C15" s="21"/>
      <c r="D15" s="21"/>
      <c r="E15" s="21"/>
      <c r="F15" s="21"/>
      <c r="G15" s="21"/>
      <c r="H15" s="21"/>
      <c r="I15" s="2"/>
      <c r="J15" s="2"/>
      <c r="K15" s="2"/>
      <c r="L15" s="2"/>
      <c r="M15" s="2"/>
      <c r="N15" s="2"/>
      <c r="O15" s="2"/>
      <c r="P15" s="2"/>
    </row>
    <row r="16" spans="1:16">
      <c r="A16" s="2"/>
      <c r="B16" s="21"/>
      <c r="C16" s="21"/>
      <c r="D16" s="21"/>
      <c r="E16" s="21"/>
      <c r="F16" s="21"/>
      <c r="G16" s="21"/>
      <c r="H16" s="21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1"/>
      <c r="C17" s="21"/>
      <c r="D17" s="21"/>
      <c r="E17" s="21"/>
      <c r="F17" s="21"/>
      <c r="G17" s="21"/>
      <c r="H17" s="21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1"/>
      <c r="C18" s="21"/>
      <c r="D18" s="21"/>
      <c r="E18" s="21"/>
      <c r="F18" s="21"/>
      <c r="G18" s="21"/>
      <c r="H18" s="21"/>
      <c r="I18" s="2"/>
      <c r="J18" s="2"/>
      <c r="K18" s="2"/>
      <c r="L18" s="2"/>
      <c r="M18" s="2"/>
      <c r="N18" s="2"/>
      <c r="O18" s="2"/>
      <c r="P18" s="2"/>
    </row>
    <row r="19" spans="1:16">
      <c r="A19" s="2"/>
      <c r="B19" s="21"/>
      <c r="C19" s="21"/>
      <c r="D19" s="21"/>
      <c r="E19" s="21"/>
      <c r="F19" s="21"/>
      <c r="G19" s="21"/>
      <c r="H19" s="21"/>
      <c r="I19" s="2"/>
      <c r="J19" s="2"/>
      <c r="K19" s="2"/>
      <c r="L19" s="2"/>
      <c r="M19" s="2"/>
      <c r="N19" s="2"/>
      <c r="O19" s="2"/>
      <c r="P19" s="2"/>
    </row>
    <row r="20" spans="1:16">
      <c r="A20" s="2"/>
      <c r="B20" s="21"/>
      <c r="C20" s="21"/>
      <c r="D20" s="21"/>
      <c r="E20" s="21"/>
      <c r="F20" s="21"/>
      <c r="G20" s="21"/>
      <c r="H20" s="21"/>
      <c r="I20" s="2"/>
      <c r="J20" s="2"/>
      <c r="K20" s="2"/>
      <c r="L20" s="2"/>
      <c r="M20" s="2"/>
      <c r="N20" s="2"/>
      <c r="O20" s="2"/>
      <c r="P20" s="2"/>
    </row>
    <row r="21" spans="1:1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showGridLines="0" topLeftCell="C1" workbookViewId="0">
      <selection activeCell="D1" sqref="D1"/>
    </sheetView>
  </sheetViews>
  <sheetFormatPr defaultRowHeight="15"/>
  <cols>
    <col min="2" max="2" width="11.140625" customWidth="1"/>
    <col min="4" max="4" width="11.140625" bestFit="1" customWidth="1"/>
    <col min="6" max="6" width="13.85546875" customWidth="1"/>
    <col min="9" max="9" width="10.28515625" customWidth="1"/>
    <col min="10" max="10" width="7.85546875" customWidth="1"/>
    <col min="11" max="11" width="11.7109375" customWidth="1"/>
    <col min="12" max="12" width="11.140625" customWidth="1"/>
    <col min="13" max="13" width="11.28515625" customWidth="1"/>
  </cols>
  <sheetData>
    <row r="1" spans="1:13" ht="38.25">
      <c r="A1" s="3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5" t="s">
        <v>11</v>
      </c>
      <c r="J1" s="4" t="s">
        <v>12</v>
      </c>
      <c r="K1" s="4" t="s">
        <v>13</v>
      </c>
      <c r="L1" s="4" t="s">
        <v>14</v>
      </c>
      <c r="M1" s="6" t="s">
        <v>15</v>
      </c>
    </row>
    <row r="2" spans="1:13">
      <c r="A2" s="7">
        <v>3231</v>
      </c>
      <c r="B2" s="8" t="s">
        <v>16</v>
      </c>
      <c r="C2" s="8" t="s">
        <v>17</v>
      </c>
      <c r="D2" s="9">
        <v>45292</v>
      </c>
      <c r="E2" s="8" t="s">
        <v>18</v>
      </c>
      <c r="F2" s="10">
        <v>15</v>
      </c>
      <c r="G2" s="8" t="s">
        <v>19</v>
      </c>
      <c r="H2" s="8" t="s">
        <v>18</v>
      </c>
      <c r="I2" s="10">
        <v>30</v>
      </c>
      <c r="J2" s="8" t="s">
        <v>18</v>
      </c>
      <c r="K2" s="10">
        <v>20</v>
      </c>
      <c r="L2" s="11">
        <v>5</v>
      </c>
      <c r="M2" s="12">
        <v>60</v>
      </c>
    </row>
    <row r="3" spans="1:13">
      <c r="A3" s="7">
        <v>3234</v>
      </c>
      <c r="B3" s="8" t="s">
        <v>20</v>
      </c>
      <c r="C3" s="8" t="s">
        <v>17</v>
      </c>
      <c r="D3" s="9">
        <v>45342</v>
      </c>
      <c r="E3" s="8" t="s">
        <v>21</v>
      </c>
      <c r="F3" s="10">
        <v>15</v>
      </c>
      <c r="G3" s="8" t="s">
        <v>19</v>
      </c>
      <c r="H3" s="8" t="s">
        <v>18</v>
      </c>
      <c r="I3" s="10">
        <v>30</v>
      </c>
      <c r="J3" s="8" t="s">
        <v>18</v>
      </c>
      <c r="K3" s="10">
        <v>20</v>
      </c>
      <c r="L3" s="11">
        <v>3</v>
      </c>
      <c r="M3" s="12">
        <v>62</v>
      </c>
    </row>
    <row r="4" spans="1:13">
      <c r="A4" s="7">
        <v>3237</v>
      </c>
      <c r="B4" s="8" t="s">
        <v>22</v>
      </c>
      <c r="C4" s="8" t="s">
        <v>17</v>
      </c>
      <c r="D4" s="9">
        <v>45354</v>
      </c>
      <c r="E4" s="8" t="s">
        <v>18</v>
      </c>
      <c r="F4" s="10">
        <v>15</v>
      </c>
      <c r="G4" s="8" t="s">
        <v>23</v>
      </c>
      <c r="H4" s="8" t="s">
        <v>18</v>
      </c>
      <c r="I4" s="10">
        <v>30</v>
      </c>
      <c r="J4" s="8" t="s">
        <v>18</v>
      </c>
      <c r="K4" s="10">
        <v>20</v>
      </c>
      <c r="L4" s="11">
        <v>10</v>
      </c>
      <c r="M4" s="12">
        <v>55</v>
      </c>
    </row>
    <row r="5" spans="1:13">
      <c r="A5" s="7">
        <v>3239</v>
      </c>
      <c r="B5" s="8" t="s">
        <v>24</v>
      </c>
      <c r="C5" s="8" t="s">
        <v>17</v>
      </c>
      <c r="D5" s="9">
        <v>45356</v>
      </c>
      <c r="E5" s="8" t="s">
        <v>21</v>
      </c>
      <c r="F5" s="10">
        <v>15</v>
      </c>
      <c r="G5" s="8" t="s">
        <v>19</v>
      </c>
      <c r="H5" s="8" t="s">
        <v>18</v>
      </c>
      <c r="I5" s="10">
        <v>30</v>
      </c>
      <c r="J5" s="8" t="s">
        <v>18</v>
      </c>
      <c r="K5" s="10">
        <v>20</v>
      </c>
      <c r="L5" s="11">
        <v>5</v>
      </c>
      <c r="M5" s="12">
        <v>60</v>
      </c>
    </row>
    <row r="6" spans="1:13">
      <c r="A6" s="7">
        <v>3242</v>
      </c>
      <c r="B6" s="8" t="s">
        <v>25</v>
      </c>
      <c r="C6" s="8" t="s">
        <v>17</v>
      </c>
      <c r="D6" s="9">
        <v>45359</v>
      </c>
      <c r="E6" s="8" t="s">
        <v>18</v>
      </c>
      <c r="F6" s="10">
        <v>15</v>
      </c>
      <c r="G6" s="8" t="s">
        <v>26</v>
      </c>
      <c r="H6" s="8" t="s">
        <v>18</v>
      </c>
      <c r="I6" s="10">
        <v>30</v>
      </c>
      <c r="J6" s="8" t="s">
        <v>18</v>
      </c>
      <c r="K6" s="10">
        <v>20</v>
      </c>
      <c r="L6" s="11">
        <v>20</v>
      </c>
      <c r="M6" s="12">
        <v>45</v>
      </c>
    </row>
    <row r="7" spans="1:13">
      <c r="A7" s="7">
        <v>3245</v>
      </c>
      <c r="B7" s="8" t="s">
        <v>27</v>
      </c>
      <c r="C7" s="8" t="s">
        <v>17</v>
      </c>
      <c r="D7" s="9">
        <v>45362</v>
      </c>
      <c r="E7" s="8" t="s">
        <v>21</v>
      </c>
      <c r="F7" s="10">
        <v>15</v>
      </c>
      <c r="G7" s="8" t="s">
        <v>19</v>
      </c>
      <c r="H7" s="8" t="s">
        <v>18</v>
      </c>
      <c r="I7" s="10">
        <v>30</v>
      </c>
      <c r="J7" s="8" t="s">
        <v>18</v>
      </c>
      <c r="K7" s="10">
        <v>20</v>
      </c>
      <c r="L7" s="11">
        <v>8</v>
      </c>
      <c r="M7" s="12">
        <v>57</v>
      </c>
    </row>
    <row r="8" spans="1:13">
      <c r="A8" s="7">
        <v>3248</v>
      </c>
      <c r="B8" s="8" t="s">
        <v>28</v>
      </c>
      <c r="C8" s="8" t="s">
        <v>17</v>
      </c>
      <c r="D8" s="9">
        <v>45365</v>
      </c>
      <c r="E8" s="8" t="s">
        <v>18</v>
      </c>
      <c r="F8" s="10">
        <v>15</v>
      </c>
      <c r="G8" s="8" t="s">
        <v>23</v>
      </c>
      <c r="H8" s="8" t="s">
        <v>18</v>
      </c>
      <c r="I8" s="10">
        <v>30</v>
      </c>
      <c r="J8" s="8" t="s">
        <v>18</v>
      </c>
      <c r="K8" s="10">
        <v>20</v>
      </c>
      <c r="L8" s="11">
        <v>7</v>
      </c>
      <c r="M8" s="12">
        <v>58</v>
      </c>
    </row>
    <row r="9" spans="1:13">
      <c r="A9" s="7">
        <v>3251</v>
      </c>
      <c r="B9" s="8" t="s">
        <v>29</v>
      </c>
      <c r="C9" s="8" t="s">
        <v>17</v>
      </c>
      <c r="D9" s="9">
        <v>45368</v>
      </c>
      <c r="E9" s="8" t="s">
        <v>21</v>
      </c>
      <c r="F9" s="10">
        <v>15</v>
      </c>
      <c r="G9" s="8" t="s">
        <v>19</v>
      </c>
      <c r="H9" s="8" t="s">
        <v>18</v>
      </c>
      <c r="I9" s="10">
        <v>30</v>
      </c>
      <c r="J9" s="8" t="s">
        <v>18</v>
      </c>
      <c r="K9" s="10">
        <v>20</v>
      </c>
      <c r="L9" s="11">
        <v>3</v>
      </c>
      <c r="M9" s="12">
        <v>62</v>
      </c>
    </row>
    <row r="10" spans="1:13">
      <c r="A10" s="7">
        <v>3254</v>
      </c>
      <c r="B10" s="8" t="s">
        <v>30</v>
      </c>
      <c r="C10" s="8" t="s">
        <v>17</v>
      </c>
      <c r="D10" s="9">
        <v>45371</v>
      </c>
      <c r="E10" s="8" t="s">
        <v>18</v>
      </c>
      <c r="F10" s="10">
        <v>15</v>
      </c>
      <c r="G10" s="8" t="s">
        <v>26</v>
      </c>
      <c r="H10" s="8" t="s">
        <v>18</v>
      </c>
      <c r="I10" s="10">
        <v>30</v>
      </c>
      <c r="J10" s="8" t="s">
        <v>18</v>
      </c>
      <c r="K10" s="10">
        <v>20</v>
      </c>
      <c r="L10" s="11">
        <v>20</v>
      </c>
      <c r="M10" s="12">
        <v>45</v>
      </c>
    </row>
    <row r="11" spans="1:13">
      <c r="A11" s="7">
        <v>3257</v>
      </c>
      <c r="B11" s="8" t="s">
        <v>31</v>
      </c>
      <c r="C11" s="8" t="s">
        <v>17</v>
      </c>
      <c r="D11" s="9">
        <v>45374</v>
      </c>
      <c r="E11" s="8" t="s">
        <v>21</v>
      </c>
      <c r="F11" s="10">
        <v>15</v>
      </c>
      <c r="G11" s="8" t="s">
        <v>19</v>
      </c>
      <c r="H11" s="8" t="s">
        <v>18</v>
      </c>
      <c r="I11" s="10">
        <v>30</v>
      </c>
      <c r="J11" s="8" t="s">
        <v>18</v>
      </c>
      <c r="K11" s="10">
        <v>20</v>
      </c>
      <c r="L11" s="11">
        <v>5</v>
      </c>
      <c r="M11" s="12">
        <v>60</v>
      </c>
    </row>
    <row r="12" spans="1:13">
      <c r="A12" s="7">
        <v>3260</v>
      </c>
      <c r="B12" s="8" t="s">
        <v>32</v>
      </c>
      <c r="C12" s="8" t="s">
        <v>17</v>
      </c>
      <c r="D12" s="9">
        <v>45377</v>
      </c>
      <c r="E12" s="8" t="s">
        <v>18</v>
      </c>
      <c r="F12" s="10">
        <v>15</v>
      </c>
      <c r="G12" s="8" t="s">
        <v>23</v>
      </c>
      <c r="H12" s="8" t="s">
        <v>18</v>
      </c>
      <c r="I12" s="10">
        <v>30</v>
      </c>
      <c r="J12" s="8" t="s">
        <v>18</v>
      </c>
      <c r="K12" s="10">
        <v>20</v>
      </c>
      <c r="L12" s="11">
        <v>7</v>
      </c>
      <c r="M12" s="12">
        <v>58</v>
      </c>
    </row>
    <row r="13" spans="1:13">
      <c r="A13" s="7">
        <v>3263</v>
      </c>
      <c r="B13" s="8" t="s">
        <v>33</v>
      </c>
      <c r="C13" s="8" t="s">
        <v>17</v>
      </c>
      <c r="D13" s="9">
        <v>45380</v>
      </c>
      <c r="E13" s="8" t="s">
        <v>21</v>
      </c>
      <c r="F13" s="10">
        <v>15</v>
      </c>
      <c r="G13" s="8" t="s">
        <v>19</v>
      </c>
      <c r="H13" s="8" t="s">
        <v>18</v>
      </c>
      <c r="I13" s="10">
        <v>30</v>
      </c>
      <c r="J13" s="8" t="s">
        <v>18</v>
      </c>
      <c r="K13" s="10">
        <v>20</v>
      </c>
      <c r="L13" s="11">
        <v>3</v>
      </c>
      <c r="M13" s="12">
        <v>62</v>
      </c>
    </row>
    <row r="14" spans="1:13">
      <c r="A14" s="7">
        <v>3267</v>
      </c>
      <c r="B14" s="8" t="s">
        <v>34</v>
      </c>
      <c r="C14" s="8" t="s">
        <v>17</v>
      </c>
      <c r="D14" s="9">
        <v>45384</v>
      </c>
      <c r="E14" s="8" t="s">
        <v>21</v>
      </c>
      <c r="F14" s="10">
        <v>15</v>
      </c>
      <c r="G14" s="8" t="s">
        <v>23</v>
      </c>
      <c r="H14" s="8" t="s">
        <v>18</v>
      </c>
      <c r="I14" s="10">
        <v>30</v>
      </c>
      <c r="J14" s="8" t="s">
        <v>18</v>
      </c>
      <c r="K14" s="10">
        <v>20</v>
      </c>
      <c r="L14" s="11">
        <v>7</v>
      </c>
      <c r="M14" s="12">
        <v>58</v>
      </c>
    </row>
    <row r="15" spans="1:13">
      <c r="A15" s="7">
        <v>3270</v>
      </c>
      <c r="B15" s="8" t="s">
        <v>35</v>
      </c>
      <c r="C15" s="8" t="s">
        <v>17</v>
      </c>
      <c r="D15" s="9">
        <v>45387</v>
      </c>
      <c r="E15" s="8" t="s">
        <v>18</v>
      </c>
      <c r="F15" s="10">
        <v>15</v>
      </c>
      <c r="G15" s="8" t="s">
        <v>19</v>
      </c>
      <c r="H15" s="8" t="s">
        <v>18</v>
      </c>
      <c r="I15" s="10">
        <v>30</v>
      </c>
      <c r="J15" s="8" t="s">
        <v>18</v>
      </c>
      <c r="K15" s="10">
        <v>20</v>
      </c>
      <c r="L15" s="11">
        <v>15</v>
      </c>
      <c r="M15" s="12">
        <v>50</v>
      </c>
    </row>
    <row r="16" spans="1:13">
      <c r="A16" s="7">
        <v>3273</v>
      </c>
      <c r="B16" s="8" t="s">
        <v>36</v>
      </c>
      <c r="C16" s="8" t="s">
        <v>17</v>
      </c>
      <c r="D16" s="9">
        <v>45390</v>
      </c>
      <c r="E16" s="8" t="s">
        <v>21</v>
      </c>
      <c r="F16" s="10">
        <v>15</v>
      </c>
      <c r="G16" s="8" t="s">
        <v>23</v>
      </c>
      <c r="H16" s="8" t="s">
        <v>18</v>
      </c>
      <c r="I16" s="10">
        <v>30</v>
      </c>
      <c r="J16" s="8" t="s">
        <v>18</v>
      </c>
      <c r="K16" s="10">
        <v>20</v>
      </c>
      <c r="L16" s="11">
        <v>20</v>
      </c>
      <c r="M16" s="12">
        <v>45</v>
      </c>
    </row>
    <row r="17" spans="1:13">
      <c r="A17" s="7">
        <v>3276</v>
      </c>
      <c r="B17" s="8" t="s">
        <v>37</v>
      </c>
      <c r="C17" s="8" t="s">
        <v>17</v>
      </c>
      <c r="D17" s="9"/>
      <c r="E17" s="8" t="s">
        <v>18</v>
      </c>
      <c r="F17" s="10">
        <v>15</v>
      </c>
      <c r="G17" s="8" t="s">
        <v>26</v>
      </c>
      <c r="H17" s="8" t="s">
        <v>18</v>
      </c>
      <c r="I17" s="10">
        <v>30</v>
      </c>
      <c r="J17" s="8" t="s">
        <v>18</v>
      </c>
      <c r="K17" s="10">
        <v>20</v>
      </c>
      <c r="L17" s="11">
        <v>5</v>
      </c>
      <c r="M17" s="12">
        <v>60</v>
      </c>
    </row>
    <row r="18" spans="1:13">
      <c r="A18" s="7">
        <v>3279</v>
      </c>
      <c r="B18" s="8" t="s">
        <v>38</v>
      </c>
      <c r="C18" s="8" t="s">
        <v>17</v>
      </c>
      <c r="D18" s="9">
        <v>45396</v>
      </c>
      <c r="E18" s="8" t="s">
        <v>21</v>
      </c>
      <c r="F18" s="10">
        <v>15</v>
      </c>
      <c r="G18" s="8" t="s">
        <v>19</v>
      </c>
      <c r="H18" s="8" t="s">
        <v>18</v>
      </c>
      <c r="I18" s="10">
        <v>30</v>
      </c>
      <c r="J18" s="8" t="s">
        <v>18</v>
      </c>
      <c r="K18" s="10">
        <v>20</v>
      </c>
      <c r="L18" s="11">
        <v>3</v>
      </c>
      <c r="M18" s="12">
        <v>62</v>
      </c>
    </row>
    <row r="19" spans="1:13">
      <c r="A19" s="7">
        <v>3282</v>
      </c>
      <c r="B19" s="8" t="s">
        <v>39</v>
      </c>
      <c r="C19" s="8" t="s">
        <v>17</v>
      </c>
      <c r="D19" s="9">
        <v>45399</v>
      </c>
      <c r="E19" s="8" t="s">
        <v>18</v>
      </c>
      <c r="F19" s="10">
        <v>15</v>
      </c>
      <c r="G19" s="8" t="s">
        <v>23</v>
      </c>
      <c r="H19" s="8" t="s">
        <v>18</v>
      </c>
      <c r="I19" s="10">
        <v>30</v>
      </c>
      <c r="J19" s="8" t="s">
        <v>18</v>
      </c>
      <c r="K19" s="10">
        <v>20</v>
      </c>
      <c r="L19" s="11">
        <v>7</v>
      </c>
      <c r="M19" s="12">
        <v>58</v>
      </c>
    </row>
    <row r="20" spans="1:13">
      <c r="A20" s="7">
        <v>3285</v>
      </c>
      <c r="B20" s="8" t="s">
        <v>40</v>
      </c>
      <c r="C20" s="8" t="s">
        <v>17</v>
      </c>
      <c r="D20" s="9">
        <v>45402</v>
      </c>
      <c r="E20" s="8" t="s">
        <v>21</v>
      </c>
      <c r="F20" s="10">
        <v>15</v>
      </c>
      <c r="G20" s="8" t="s">
        <v>19</v>
      </c>
      <c r="H20" s="8" t="s">
        <v>18</v>
      </c>
      <c r="I20" s="10">
        <v>30</v>
      </c>
      <c r="J20" s="8" t="s">
        <v>18</v>
      </c>
      <c r="K20" s="10">
        <v>20</v>
      </c>
      <c r="L20" s="11">
        <v>20</v>
      </c>
      <c r="M20" s="12">
        <v>45</v>
      </c>
    </row>
    <row r="21" spans="1:13">
      <c r="A21" s="7">
        <v>3288</v>
      </c>
      <c r="B21" s="8" t="s">
        <v>41</v>
      </c>
      <c r="C21" s="8" t="s">
        <v>17</v>
      </c>
      <c r="D21" s="9"/>
      <c r="E21" s="8" t="s">
        <v>18</v>
      </c>
      <c r="F21" s="10">
        <v>15</v>
      </c>
      <c r="G21" s="8" t="s">
        <v>26</v>
      </c>
      <c r="H21" s="8" t="s">
        <v>18</v>
      </c>
      <c r="I21" s="10">
        <v>30</v>
      </c>
      <c r="J21" s="8" t="s">
        <v>18</v>
      </c>
      <c r="K21" s="10">
        <v>20</v>
      </c>
      <c r="L21" s="11">
        <v>3</v>
      </c>
      <c r="M21" s="12">
        <v>62</v>
      </c>
    </row>
    <row r="22" spans="1:13">
      <c r="A22" s="7">
        <v>3291</v>
      </c>
      <c r="B22" s="8" t="s">
        <v>42</v>
      </c>
      <c r="C22" s="8" t="s">
        <v>17</v>
      </c>
      <c r="D22" s="9">
        <v>45408</v>
      </c>
      <c r="E22" s="8" t="s">
        <v>21</v>
      </c>
      <c r="F22" s="10">
        <v>15</v>
      </c>
      <c r="G22" s="8" t="s">
        <v>19</v>
      </c>
      <c r="H22" s="8" t="s">
        <v>18</v>
      </c>
      <c r="I22" s="10">
        <v>30</v>
      </c>
      <c r="J22" s="8" t="s">
        <v>18</v>
      </c>
      <c r="K22" s="10">
        <v>20</v>
      </c>
      <c r="L22" s="11">
        <v>5</v>
      </c>
      <c r="M22" s="12">
        <v>60</v>
      </c>
    </row>
    <row r="23" spans="1:13">
      <c r="A23" s="7">
        <v>3294</v>
      </c>
      <c r="B23" s="8" t="s">
        <v>43</v>
      </c>
      <c r="C23" s="8" t="s">
        <v>17</v>
      </c>
      <c r="D23" s="9">
        <v>45411</v>
      </c>
      <c r="E23" s="8" t="s">
        <v>18</v>
      </c>
      <c r="F23" s="10">
        <v>15</v>
      </c>
      <c r="G23" s="8" t="s">
        <v>23</v>
      </c>
      <c r="H23" s="8" t="s">
        <v>18</v>
      </c>
      <c r="I23" s="10">
        <v>30</v>
      </c>
      <c r="J23" s="8" t="s">
        <v>18</v>
      </c>
      <c r="K23" s="10">
        <v>20</v>
      </c>
      <c r="L23" s="11">
        <v>20</v>
      </c>
      <c r="M23" s="12">
        <v>45</v>
      </c>
    </row>
    <row r="24" spans="1:13">
      <c r="A24" s="7">
        <v>3297</v>
      </c>
      <c r="B24" s="8" t="s">
        <v>44</v>
      </c>
      <c r="C24" s="8" t="s">
        <v>17</v>
      </c>
      <c r="D24" s="9">
        <v>45414</v>
      </c>
      <c r="E24" s="8" t="s">
        <v>18</v>
      </c>
      <c r="F24" s="10">
        <v>15</v>
      </c>
      <c r="G24" s="8" t="s">
        <v>23</v>
      </c>
      <c r="H24" s="8" t="s">
        <v>18</v>
      </c>
      <c r="I24" s="10">
        <v>30</v>
      </c>
      <c r="J24" s="8" t="s">
        <v>18</v>
      </c>
      <c r="K24" s="10">
        <v>20</v>
      </c>
      <c r="L24" s="11">
        <v>7</v>
      </c>
      <c r="M24" s="12">
        <v>58</v>
      </c>
    </row>
    <row r="25" spans="1:13">
      <c r="A25" s="7">
        <v>3300</v>
      </c>
      <c r="B25" s="8" t="s">
        <v>45</v>
      </c>
      <c r="C25" s="8" t="s">
        <v>17</v>
      </c>
      <c r="D25" s="9">
        <v>45417</v>
      </c>
      <c r="E25" s="8" t="s">
        <v>21</v>
      </c>
      <c r="F25" s="10">
        <v>15</v>
      </c>
      <c r="G25" s="8" t="s">
        <v>19</v>
      </c>
      <c r="H25" s="8" t="s">
        <v>18</v>
      </c>
      <c r="I25" s="10">
        <v>30</v>
      </c>
      <c r="J25" s="8" t="s">
        <v>18</v>
      </c>
      <c r="K25" s="10">
        <v>20</v>
      </c>
      <c r="L25" s="11">
        <v>15</v>
      </c>
      <c r="M25" s="12">
        <v>50</v>
      </c>
    </row>
    <row r="26" spans="1:13">
      <c r="A26" s="7">
        <v>3303</v>
      </c>
      <c r="B26" s="8" t="s">
        <v>46</v>
      </c>
      <c r="C26" s="8" t="s">
        <v>17</v>
      </c>
      <c r="D26" s="9">
        <v>45420</v>
      </c>
      <c r="E26" s="8" t="s">
        <v>18</v>
      </c>
      <c r="F26" s="10">
        <v>15</v>
      </c>
      <c r="G26" s="8" t="s">
        <v>23</v>
      </c>
      <c r="H26" s="8" t="s">
        <v>18</v>
      </c>
      <c r="I26" s="10">
        <v>30</v>
      </c>
      <c r="J26" s="8" t="s">
        <v>18</v>
      </c>
      <c r="K26" s="10">
        <v>20</v>
      </c>
      <c r="L26" s="11">
        <v>20</v>
      </c>
      <c r="M26" s="12">
        <v>45</v>
      </c>
    </row>
    <row r="27" spans="1:13">
      <c r="A27" s="7">
        <v>3306</v>
      </c>
      <c r="B27" s="8" t="s">
        <v>47</v>
      </c>
      <c r="C27" s="8" t="s">
        <v>17</v>
      </c>
      <c r="D27" s="9">
        <v>45423</v>
      </c>
      <c r="E27" s="8" t="s">
        <v>21</v>
      </c>
      <c r="F27" s="10">
        <v>15</v>
      </c>
      <c r="G27" s="8" t="s">
        <v>26</v>
      </c>
      <c r="H27" s="8" t="s">
        <v>18</v>
      </c>
      <c r="I27" s="10">
        <v>30</v>
      </c>
      <c r="J27" s="8" t="s">
        <v>18</v>
      </c>
      <c r="K27" s="10">
        <v>20</v>
      </c>
      <c r="L27" s="11">
        <v>5</v>
      </c>
      <c r="M27" s="12">
        <v>60</v>
      </c>
    </row>
    <row r="28" spans="1:13">
      <c r="A28" s="7">
        <v>3309</v>
      </c>
      <c r="B28" s="8" t="s">
        <v>48</v>
      </c>
      <c r="C28" s="8" t="s">
        <v>17</v>
      </c>
      <c r="D28" s="9">
        <v>45426</v>
      </c>
      <c r="E28" s="8" t="s">
        <v>18</v>
      </c>
      <c r="F28" s="10">
        <v>15</v>
      </c>
      <c r="G28" s="8" t="s">
        <v>19</v>
      </c>
      <c r="H28" s="8" t="s">
        <v>18</v>
      </c>
      <c r="I28" s="10">
        <v>30</v>
      </c>
      <c r="J28" s="8" t="s">
        <v>18</v>
      </c>
      <c r="K28" s="10">
        <v>20</v>
      </c>
      <c r="L28" s="11">
        <v>3</v>
      </c>
      <c r="M28" s="12">
        <v>62</v>
      </c>
    </row>
    <row r="29" spans="1:13">
      <c r="A29" s="7">
        <v>3312</v>
      </c>
      <c r="B29" s="8" t="s">
        <v>49</v>
      </c>
      <c r="C29" s="8" t="s">
        <v>17</v>
      </c>
      <c r="D29" s="9">
        <v>45429</v>
      </c>
      <c r="E29" s="8" t="s">
        <v>21</v>
      </c>
      <c r="F29" s="10">
        <v>15</v>
      </c>
      <c r="G29" s="8" t="s">
        <v>23</v>
      </c>
      <c r="H29" s="8" t="s">
        <v>18</v>
      </c>
      <c r="I29" s="10">
        <v>30</v>
      </c>
      <c r="J29" s="8" t="s">
        <v>18</v>
      </c>
      <c r="K29" s="10">
        <v>20</v>
      </c>
      <c r="L29" s="11">
        <v>7</v>
      </c>
      <c r="M29" s="12">
        <v>58</v>
      </c>
    </row>
    <row r="30" spans="1:13">
      <c r="A30" s="7">
        <v>3315</v>
      </c>
      <c r="B30" s="8" t="s">
        <v>50</v>
      </c>
      <c r="C30" s="8" t="s">
        <v>17</v>
      </c>
      <c r="D30" s="9">
        <v>45432</v>
      </c>
      <c r="E30" s="8" t="s">
        <v>18</v>
      </c>
      <c r="F30" s="10">
        <v>15</v>
      </c>
      <c r="G30" s="8" t="s">
        <v>19</v>
      </c>
      <c r="H30" s="8" t="s">
        <v>18</v>
      </c>
      <c r="I30" s="10">
        <v>30</v>
      </c>
      <c r="J30" s="8" t="s">
        <v>18</v>
      </c>
      <c r="K30" s="10">
        <v>20</v>
      </c>
      <c r="L30" s="11">
        <v>20</v>
      </c>
      <c r="M30" s="12">
        <v>45</v>
      </c>
    </row>
    <row r="31" spans="1:13">
      <c r="A31" s="7">
        <v>3318</v>
      </c>
      <c r="B31" s="8" t="s">
        <v>51</v>
      </c>
      <c r="C31" s="8" t="s">
        <v>17</v>
      </c>
      <c r="D31" s="9">
        <v>45435</v>
      </c>
      <c r="E31" s="8" t="s">
        <v>21</v>
      </c>
      <c r="F31" s="10">
        <v>15</v>
      </c>
      <c r="G31" s="8" t="s">
        <v>26</v>
      </c>
      <c r="H31" s="8" t="s">
        <v>18</v>
      </c>
      <c r="I31" s="10">
        <v>30</v>
      </c>
      <c r="J31" s="8" t="s">
        <v>18</v>
      </c>
      <c r="K31" s="10">
        <v>20</v>
      </c>
      <c r="L31" s="11">
        <v>3</v>
      </c>
      <c r="M31" s="12">
        <v>62</v>
      </c>
    </row>
    <row r="32" spans="1:13">
      <c r="A32" s="7">
        <v>3321</v>
      </c>
      <c r="B32" s="8" t="s">
        <v>52</v>
      </c>
      <c r="C32" s="8" t="s">
        <v>17</v>
      </c>
      <c r="D32" s="9">
        <v>45438</v>
      </c>
      <c r="E32" s="8" t="s">
        <v>18</v>
      </c>
      <c r="F32" s="10">
        <v>15</v>
      </c>
      <c r="G32" s="8" t="s">
        <v>19</v>
      </c>
      <c r="H32" s="8" t="s">
        <v>18</v>
      </c>
      <c r="I32" s="10">
        <v>30</v>
      </c>
      <c r="J32" s="8" t="s">
        <v>18</v>
      </c>
      <c r="K32" s="10">
        <v>20</v>
      </c>
      <c r="L32" s="11">
        <v>5</v>
      </c>
      <c r="M32" s="12">
        <v>60</v>
      </c>
    </row>
    <row r="33" spans="1:13">
      <c r="A33" s="7">
        <v>3324</v>
      </c>
      <c r="B33" s="8" t="s">
        <v>53</v>
      </c>
      <c r="C33" s="8" t="s">
        <v>17</v>
      </c>
      <c r="D33" s="9">
        <v>45441</v>
      </c>
      <c r="E33" s="8" t="s">
        <v>21</v>
      </c>
      <c r="F33" s="10">
        <v>15</v>
      </c>
      <c r="G33" s="8" t="s">
        <v>23</v>
      </c>
      <c r="H33" s="8" t="s">
        <v>18</v>
      </c>
      <c r="I33" s="10">
        <v>30</v>
      </c>
      <c r="J33" s="8" t="s">
        <v>18</v>
      </c>
      <c r="K33" s="10">
        <v>20</v>
      </c>
      <c r="L33" s="11">
        <v>20</v>
      </c>
      <c r="M33" s="12">
        <v>45</v>
      </c>
    </row>
    <row r="34" spans="1:13">
      <c r="A34" s="7">
        <v>3327</v>
      </c>
      <c r="B34" s="8" t="s">
        <v>54</v>
      </c>
      <c r="C34" s="8" t="s">
        <v>17</v>
      </c>
      <c r="D34" s="9">
        <v>45444</v>
      </c>
      <c r="E34" s="8" t="s">
        <v>18</v>
      </c>
      <c r="F34" s="10">
        <v>15</v>
      </c>
      <c r="G34" s="8" t="s">
        <v>19</v>
      </c>
      <c r="H34" s="8" t="s">
        <v>18</v>
      </c>
      <c r="I34" s="10">
        <v>30</v>
      </c>
      <c r="J34" s="8" t="s">
        <v>18</v>
      </c>
      <c r="K34" s="10">
        <v>20</v>
      </c>
      <c r="L34" s="11">
        <v>7</v>
      </c>
      <c r="M34" s="12">
        <v>58</v>
      </c>
    </row>
    <row r="35" spans="1:13">
      <c r="A35" s="7">
        <v>3330</v>
      </c>
      <c r="B35" s="8" t="s">
        <v>55</v>
      </c>
      <c r="C35" s="8" t="s">
        <v>17</v>
      </c>
      <c r="D35" s="9">
        <v>45447</v>
      </c>
      <c r="E35" s="8" t="s">
        <v>21</v>
      </c>
      <c r="F35" s="10">
        <v>15</v>
      </c>
      <c r="G35" s="8" t="s">
        <v>19</v>
      </c>
      <c r="H35" s="8" t="s">
        <v>18</v>
      </c>
      <c r="I35" s="10">
        <v>30</v>
      </c>
      <c r="J35" s="8" t="s">
        <v>18</v>
      </c>
      <c r="K35" s="10">
        <v>20</v>
      </c>
      <c r="L35" s="11">
        <v>15</v>
      </c>
      <c r="M35" s="12">
        <v>50</v>
      </c>
    </row>
    <row r="36" spans="1:13">
      <c r="A36" s="7">
        <v>3333</v>
      </c>
      <c r="B36" s="8" t="s">
        <v>56</v>
      </c>
      <c r="C36" s="8" t="s">
        <v>17</v>
      </c>
      <c r="D36" s="9">
        <v>45450</v>
      </c>
      <c r="E36" s="8" t="s">
        <v>18</v>
      </c>
      <c r="F36" s="10">
        <v>15</v>
      </c>
      <c r="G36" s="8" t="s">
        <v>23</v>
      </c>
      <c r="H36" s="8" t="s">
        <v>18</v>
      </c>
      <c r="I36" s="10">
        <v>30</v>
      </c>
      <c r="J36" s="8" t="s">
        <v>18</v>
      </c>
      <c r="K36" s="10">
        <v>20</v>
      </c>
      <c r="L36" s="11">
        <v>20</v>
      </c>
      <c r="M36" s="12">
        <v>45</v>
      </c>
    </row>
    <row r="37" spans="1:13">
      <c r="A37" s="7">
        <v>3337</v>
      </c>
      <c r="B37" s="8" t="s">
        <v>57</v>
      </c>
      <c r="C37" s="8" t="s">
        <v>17</v>
      </c>
      <c r="D37" s="9">
        <v>45454</v>
      </c>
      <c r="E37" s="8" t="s">
        <v>21</v>
      </c>
      <c r="F37" s="10">
        <v>15</v>
      </c>
      <c r="G37" s="8" t="s">
        <v>23</v>
      </c>
      <c r="H37" s="8" t="s">
        <v>18</v>
      </c>
      <c r="I37" s="10">
        <v>30</v>
      </c>
      <c r="J37" s="8" t="s">
        <v>18</v>
      </c>
      <c r="K37" s="10">
        <v>20</v>
      </c>
      <c r="L37" s="11">
        <v>7</v>
      </c>
      <c r="M37" s="12">
        <v>58</v>
      </c>
    </row>
    <row r="38" spans="1:13">
      <c r="A38" s="7">
        <v>3340</v>
      </c>
      <c r="B38" s="8" t="s">
        <v>58</v>
      </c>
      <c r="C38" s="8" t="s">
        <v>17</v>
      </c>
      <c r="D38" s="9">
        <v>45457</v>
      </c>
      <c r="E38" s="8" t="s">
        <v>18</v>
      </c>
      <c r="F38" s="10">
        <v>15</v>
      </c>
      <c r="G38" s="8" t="s">
        <v>19</v>
      </c>
      <c r="H38" s="8" t="s">
        <v>18</v>
      </c>
      <c r="I38" s="10">
        <v>30</v>
      </c>
      <c r="J38" s="8" t="s">
        <v>18</v>
      </c>
      <c r="K38" s="10">
        <v>20</v>
      </c>
      <c r="L38" s="11">
        <v>15</v>
      </c>
      <c r="M38" s="12">
        <v>50</v>
      </c>
    </row>
    <row r="39" spans="1:13">
      <c r="A39" s="7">
        <v>3343</v>
      </c>
      <c r="B39" s="8" t="s">
        <v>59</v>
      </c>
      <c r="C39" s="8" t="s">
        <v>17</v>
      </c>
      <c r="D39" s="9">
        <v>45460</v>
      </c>
      <c r="E39" s="8" t="s">
        <v>21</v>
      </c>
      <c r="F39" s="10">
        <v>15</v>
      </c>
      <c r="G39" s="8" t="s">
        <v>23</v>
      </c>
      <c r="H39" s="8" t="s">
        <v>18</v>
      </c>
      <c r="I39" s="10">
        <v>30</v>
      </c>
      <c r="J39" s="8" t="s">
        <v>18</v>
      </c>
      <c r="K39" s="10">
        <v>20</v>
      </c>
      <c r="L39" s="11">
        <v>20</v>
      </c>
      <c r="M39" s="12">
        <v>45</v>
      </c>
    </row>
    <row r="40" spans="1:13">
      <c r="A40" s="7">
        <v>3346</v>
      </c>
      <c r="B40" s="8" t="s">
        <v>60</v>
      </c>
      <c r="C40" s="8" t="s">
        <v>17</v>
      </c>
      <c r="D40" s="9">
        <v>45463</v>
      </c>
      <c r="E40" s="8" t="s">
        <v>18</v>
      </c>
      <c r="F40" s="10">
        <v>15</v>
      </c>
      <c r="G40" s="8" t="s">
        <v>26</v>
      </c>
      <c r="H40" s="8" t="s">
        <v>18</v>
      </c>
      <c r="I40" s="10">
        <v>30</v>
      </c>
      <c r="J40" s="8" t="s">
        <v>18</v>
      </c>
      <c r="K40" s="10">
        <v>20</v>
      </c>
      <c r="L40" s="11">
        <v>5</v>
      </c>
      <c r="M40" s="12">
        <v>60</v>
      </c>
    </row>
    <row r="41" spans="1:13">
      <c r="A41" s="7">
        <v>3349</v>
      </c>
      <c r="B41" s="8" t="s">
        <v>53</v>
      </c>
      <c r="C41" s="8" t="s">
        <v>17</v>
      </c>
      <c r="D41" s="9">
        <v>45466</v>
      </c>
      <c r="E41" s="8" t="s">
        <v>21</v>
      </c>
      <c r="F41" s="10">
        <v>15</v>
      </c>
      <c r="G41" s="8" t="s">
        <v>19</v>
      </c>
      <c r="H41" s="8" t="s">
        <v>18</v>
      </c>
      <c r="I41" s="10">
        <v>30</v>
      </c>
      <c r="J41" s="8" t="s">
        <v>18</v>
      </c>
      <c r="K41" s="10">
        <v>20</v>
      </c>
      <c r="L41" s="11">
        <v>3</v>
      </c>
      <c r="M41" s="12">
        <v>62</v>
      </c>
    </row>
    <row r="42" spans="1:13">
      <c r="A42" s="7">
        <v>3352</v>
      </c>
      <c r="B42" s="8" t="s">
        <v>61</v>
      </c>
      <c r="C42" s="8" t="s">
        <v>17</v>
      </c>
      <c r="D42" s="9">
        <v>45469</v>
      </c>
      <c r="E42" s="8" t="s">
        <v>18</v>
      </c>
      <c r="F42" s="10">
        <v>15</v>
      </c>
      <c r="G42" s="8" t="s">
        <v>23</v>
      </c>
      <c r="H42" s="8" t="s">
        <v>18</v>
      </c>
      <c r="I42" s="10">
        <v>30</v>
      </c>
      <c r="J42" s="8" t="s">
        <v>18</v>
      </c>
      <c r="K42" s="10">
        <v>20</v>
      </c>
      <c r="L42" s="11">
        <v>7</v>
      </c>
      <c r="M42" s="12">
        <v>58</v>
      </c>
    </row>
    <row r="43" spans="1:13">
      <c r="A43" s="7">
        <v>3355</v>
      </c>
      <c r="B43" s="8" t="s">
        <v>62</v>
      </c>
      <c r="C43" s="8" t="s">
        <v>17</v>
      </c>
      <c r="D43" s="9">
        <v>45472</v>
      </c>
      <c r="E43" s="8" t="s">
        <v>21</v>
      </c>
      <c r="F43" s="10">
        <v>15</v>
      </c>
      <c r="G43" s="8" t="s">
        <v>19</v>
      </c>
      <c r="H43" s="8" t="s">
        <v>18</v>
      </c>
      <c r="I43" s="10">
        <v>30</v>
      </c>
      <c r="J43" s="8" t="s">
        <v>18</v>
      </c>
      <c r="K43" s="10">
        <v>20</v>
      </c>
      <c r="L43" s="11">
        <v>20</v>
      </c>
      <c r="M43" s="12">
        <v>45</v>
      </c>
    </row>
    <row r="44" spans="1:13">
      <c r="A44" s="7">
        <v>3358</v>
      </c>
      <c r="B44" s="8" t="s">
        <v>63</v>
      </c>
      <c r="C44" s="8" t="s">
        <v>17</v>
      </c>
      <c r="D44" s="9">
        <v>45475</v>
      </c>
      <c r="E44" s="8" t="s">
        <v>18</v>
      </c>
      <c r="F44" s="10">
        <v>15</v>
      </c>
      <c r="G44" s="8" t="s">
        <v>26</v>
      </c>
      <c r="H44" s="8" t="s">
        <v>18</v>
      </c>
      <c r="I44" s="10">
        <v>30</v>
      </c>
      <c r="J44" s="8" t="s">
        <v>18</v>
      </c>
      <c r="K44" s="10">
        <v>20</v>
      </c>
      <c r="L44" s="11">
        <v>3</v>
      </c>
      <c r="M44" s="12">
        <v>62</v>
      </c>
    </row>
    <row r="45" spans="1:13">
      <c r="A45" s="7">
        <v>3361</v>
      </c>
      <c r="B45" s="8" t="s">
        <v>64</v>
      </c>
      <c r="C45" s="8" t="s">
        <v>17</v>
      </c>
      <c r="D45" s="9">
        <v>45478</v>
      </c>
      <c r="E45" s="8" t="s">
        <v>21</v>
      </c>
      <c r="F45" s="10">
        <v>15</v>
      </c>
      <c r="G45" s="8" t="s">
        <v>19</v>
      </c>
      <c r="H45" s="8" t="s">
        <v>18</v>
      </c>
      <c r="I45" s="10">
        <v>30</v>
      </c>
      <c r="J45" s="8" t="s">
        <v>18</v>
      </c>
      <c r="K45" s="10">
        <v>20</v>
      </c>
      <c r="L45" s="11">
        <v>15</v>
      </c>
      <c r="M45" s="12">
        <v>50</v>
      </c>
    </row>
    <row r="46" spans="1:13">
      <c r="A46" s="7">
        <v>3364</v>
      </c>
      <c r="B46" s="8" t="s">
        <v>65</v>
      </c>
      <c r="C46" s="8" t="s">
        <v>17</v>
      </c>
      <c r="D46" s="9">
        <v>45481</v>
      </c>
      <c r="E46" s="8" t="s">
        <v>18</v>
      </c>
      <c r="F46" s="10">
        <v>15</v>
      </c>
      <c r="G46" s="8" t="s">
        <v>23</v>
      </c>
      <c r="H46" s="8" t="s">
        <v>18</v>
      </c>
      <c r="I46" s="10">
        <v>30</v>
      </c>
      <c r="J46" s="8" t="s">
        <v>18</v>
      </c>
      <c r="K46" s="10">
        <v>20</v>
      </c>
      <c r="L46" s="11">
        <v>7</v>
      </c>
      <c r="M46" s="12">
        <v>58</v>
      </c>
    </row>
    <row r="47" spans="1:13">
      <c r="A47" s="7">
        <v>3367</v>
      </c>
      <c r="B47" s="8" t="s">
        <v>66</v>
      </c>
      <c r="C47" s="8" t="s">
        <v>17</v>
      </c>
      <c r="D47" s="9">
        <v>45484</v>
      </c>
      <c r="E47" s="8" t="s">
        <v>21</v>
      </c>
      <c r="F47" s="10">
        <v>15</v>
      </c>
      <c r="G47" s="8" t="s">
        <v>23</v>
      </c>
      <c r="H47" s="8" t="s">
        <v>18</v>
      </c>
      <c r="I47" s="10">
        <v>30</v>
      </c>
      <c r="J47" s="8" t="s">
        <v>18</v>
      </c>
      <c r="K47" s="10">
        <v>20</v>
      </c>
      <c r="L47" s="11">
        <v>7</v>
      </c>
      <c r="M47" s="12">
        <v>58</v>
      </c>
    </row>
    <row r="48" spans="1:13">
      <c r="A48" s="7">
        <v>3370</v>
      </c>
      <c r="B48" s="8" t="s">
        <v>67</v>
      </c>
      <c r="C48" s="8" t="s">
        <v>17</v>
      </c>
      <c r="D48" s="9">
        <v>45487</v>
      </c>
      <c r="E48" s="8" t="s">
        <v>18</v>
      </c>
      <c r="F48" s="10">
        <v>15</v>
      </c>
      <c r="G48" s="8" t="s">
        <v>19</v>
      </c>
      <c r="H48" s="8" t="s">
        <v>18</v>
      </c>
      <c r="I48" s="10">
        <v>30</v>
      </c>
      <c r="J48" s="8" t="s">
        <v>18</v>
      </c>
      <c r="K48" s="10">
        <v>20</v>
      </c>
      <c r="L48" s="11">
        <v>15</v>
      </c>
      <c r="M48" s="12">
        <v>50</v>
      </c>
    </row>
    <row r="49" spans="1:13">
      <c r="A49" s="7">
        <v>3373</v>
      </c>
      <c r="B49" s="8" t="s">
        <v>68</v>
      </c>
      <c r="C49" s="8" t="s">
        <v>17</v>
      </c>
      <c r="D49" s="9">
        <v>45490</v>
      </c>
      <c r="E49" s="8" t="s">
        <v>21</v>
      </c>
      <c r="F49" s="10">
        <v>15</v>
      </c>
      <c r="G49" s="8" t="s">
        <v>23</v>
      </c>
      <c r="H49" s="8" t="s">
        <v>18</v>
      </c>
      <c r="I49" s="10">
        <v>30</v>
      </c>
      <c r="J49" s="8" t="s">
        <v>18</v>
      </c>
      <c r="K49" s="10">
        <v>20</v>
      </c>
      <c r="L49" s="11">
        <v>20</v>
      </c>
      <c r="M49" s="12">
        <v>45</v>
      </c>
    </row>
    <row r="50" spans="1:13">
      <c r="A50" s="7">
        <v>3376</v>
      </c>
      <c r="B50" s="8" t="s">
        <v>69</v>
      </c>
      <c r="C50" s="8" t="s">
        <v>17</v>
      </c>
      <c r="D50" s="9">
        <v>45493</v>
      </c>
      <c r="E50" s="8" t="s">
        <v>18</v>
      </c>
      <c r="F50" s="10">
        <v>15</v>
      </c>
      <c r="G50" s="8" t="s">
        <v>26</v>
      </c>
      <c r="H50" s="8" t="s">
        <v>18</v>
      </c>
      <c r="I50" s="10">
        <v>30</v>
      </c>
      <c r="J50" s="8" t="s">
        <v>18</v>
      </c>
      <c r="K50" s="10">
        <v>20</v>
      </c>
      <c r="L50" s="11">
        <v>5</v>
      </c>
      <c r="M50" s="12">
        <v>60</v>
      </c>
    </row>
    <row r="51" spans="1:13">
      <c r="A51" s="7">
        <v>3379</v>
      </c>
      <c r="B51" s="8" t="s">
        <v>70</v>
      </c>
      <c r="C51" s="8" t="s">
        <v>17</v>
      </c>
      <c r="D51" s="9">
        <v>45496</v>
      </c>
      <c r="E51" s="8" t="s">
        <v>21</v>
      </c>
      <c r="F51" s="10">
        <v>15</v>
      </c>
      <c r="G51" s="8" t="s">
        <v>19</v>
      </c>
      <c r="H51" s="8" t="s">
        <v>18</v>
      </c>
      <c r="I51" s="10">
        <v>30</v>
      </c>
      <c r="J51" s="8" t="s">
        <v>18</v>
      </c>
      <c r="K51" s="10">
        <v>20</v>
      </c>
      <c r="L51" s="11">
        <v>3</v>
      </c>
      <c r="M51" s="12">
        <v>62</v>
      </c>
    </row>
    <row r="52" spans="1:13">
      <c r="A52" s="7">
        <v>3382</v>
      </c>
      <c r="B52" s="8" t="s">
        <v>71</v>
      </c>
      <c r="C52" s="8" t="s">
        <v>17</v>
      </c>
      <c r="D52" s="9">
        <v>45499</v>
      </c>
      <c r="E52" s="8" t="s">
        <v>18</v>
      </c>
      <c r="F52" s="10">
        <v>15</v>
      </c>
      <c r="G52" s="8" t="s">
        <v>23</v>
      </c>
      <c r="H52" s="8" t="s">
        <v>18</v>
      </c>
      <c r="I52" s="10">
        <v>30</v>
      </c>
      <c r="J52" s="8" t="s">
        <v>18</v>
      </c>
      <c r="K52" s="10">
        <v>20</v>
      </c>
      <c r="L52" s="11">
        <v>7</v>
      </c>
      <c r="M52" s="12">
        <v>58</v>
      </c>
    </row>
    <row r="53" spans="1:13">
      <c r="A53" s="7">
        <v>3385</v>
      </c>
      <c r="B53" s="8" t="s">
        <v>72</v>
      </c>
      <c r="C53" s="8" t="s">
        <v>17</v>
      </c>
      <c r="D53" s="9">
        <v>45502</v>
      </c>
      <c r="E53" s="8" t="s">
        <v>21</v>
      </c>
      <c r="F53" s="10">
        <v>15</v>
      </c>
      <c r="G53" s="8" t="s">
        <v>19</v>
      </c>
      <c r="H53" s="8" t="s">
        <v>18</v>
      </c>
      <c r="I53" s="10">
        <v>30</v>
      </c>
      <c r="J53" s="8" t="s">
        <v>18</v>
      </c>
      <c r="K53" s="10">
        <v>20</v>
      </c>
      <c r="L53" s="11">
        <v>20</v>
      </c>
      <c r="M53" s="12">
        <v>45</v>
      </c>
    </row>
    <row r="54" spans="1:13">
      <c r="A54" s="7">
        <v>3388</v>
      </c>
      <c r="B54" s="8" t="s">
        <v>73</v>
      </c>
      <c r="C54" s="8" t="s">
        <v>17</v>
      </c>
      <c r="D54" s="9">
        <v>45505</v>
      </c>
      <c r="E54" s="8" t="s">
        <v>18</v>
      </c>
      <c r="F54" s="10">
        <v>15</v>
      </c>
      <c r="G54" s="8" t="s">
        <v>26</v>
      </c>
      <c r="H54" s="8" t="s">
        <v>18</v>
      </c>
      <c r="I54" s="10">
        <v>30</v>
      </c>
      <c r="J54" s="8" t="s">
        <v>18</v>
      </c>
      <c r="K54" s="10">
        <v>20</v>
      </c>
      <c r="L54" s="11">
        <v>3</v>
      </c>
      <c r="M54" s="12">
        <v>62</v>
      </c>
    </row>
    <row r="55" spans="1:13">
      <c r="A55" s="7">
        <v>3391</v>
      </c>
      <c r="B55" s="8" t="s">
        <v>74</v>
      </c>
      <c r="C55" s="8" t="s">
        <v>17</v>
      </c>
      <c r="D55" s="9">
        <v>45508</v>
      </c>
      <c r="E55" s="8" t="s">
        <v>21</v>
      </c>
      <c r="F55" s="10">
        <v>15</v>
      </c>
      <c r="G55" s="8" t="s">
        <v>19</v>
      </c>
      <c r="H55" s="8" t="s">
        <v>18</v>
      </c>
      <c r="I55" s="10">
        <v>30</v>
      </c>
      <c r="J55" s="8" t="s">
        <v>18</v>
      </c>
      <c r="K55" s="10">
        <v>20</v>
      </c>
      <c r="L55" s="11">
        <v>15</v>
      </c>
      <c r="M55" s="12">
        <v>50</v>
      </c>
    </row>
    <row r="56" spans="1:13">
      <c r="A56" s="7">
        <v>3394</v>
      </c>
      <c r="B56" s="8" t="s">
        <v>75</v>
      </c>
      <c r="C56" s="8" t="s">
        <v>17</v>
      </c>
      <c r="D56" s="9">
        <v>45511</v>
      </c>
      <c r="E56" s="8" t="s">
        <v>18</v>
      </c>
      <c r="F56" s="10">
        <v>15</v>
      </c>
      <c r="G56" s="8" t="s">
        <v>23</v>
      </c>
      <c r="H56" s="8" t="s">
        <v>18</v>
      </c>
      <c r="I56" s="10">
        <v>30</v>
      </c>
      <c r="J56" s="8" t="s">
        <v>18</v>
      </c>
      <c r="K56" s="10">
        <v>20</v>
      </c>
      <c r="L56" s="11">
        <v>7</v>
      </c>
      <c r="M56" s="12">
        <v>58</v>
      </c>
    </row>
    <row r="57" spans="1:13">
      <c r="A57" s="7">
        <v>3397</v>
      </c>
      <c r="B57" s="8" t="s">
        <v>52</v>
      </c>
      <c r="C57" s="8" t="s">
        <v>17</v>
      </c>
      <c r="D57" s="9">
        <v>45514</v>
      </c>
      <c r="E57" s="8" t="s">
        <v>21</v>
      </c>
      <c r="F57" s="10">
        <v>15</v>
      </c>
      <c r="G57" s="8" t="s">
        <v>19</v>
      </c>
      <c r="H57" s="8" t="s">
        <v>18</v>
      </c>
      <c r="I57" s="10">
        <v>30</v>
      </c>
      <c r="J57" s="8" t="s">
        <v>18</v>
      </c>
      <c r="K57" s="10">
        <v>20</v>
      </c>
      <c r="L57" s="11">
        <v>20</v>
      </c>
      <c r="M57" s="12">
        <v>45</v>
      </c>
    </row>
    <row r="58" spans="1:13">
      <c r="A58" s="7">
        <v>3400</v>
      </c>
      <c r="B58" s="8" t="s">
        <v>76</v>
      </c>
      <c r="C58" s="8" t="s">
        <v>17</v>
      </c>
      <c r="D58" s="9">
        <v>45517</v>
      </c>
      <c r="E58" s="8" t="s">
        <v>18</v>
      </c>
      <c r="F58" s="10">
        <v>15</v>
      </c>
      <c r="G58" s="8" t="s">
        <v>26</v>
      </c>
      <c r="H58" s="8" t="s">
        <v>18</v>
      </c>
      <c r="I58" s="10">
        <v>30</v>
      </c>
      <c r="J58" s="8" t="s">
        <v>18</v>
      </c>
      <c r="K58" s="10">
        <v>20</v>
      </c>
      <c r="L58" s="11">
        <v>5</v>
      </c>
      <c r="M58" s="12">
        <v>60</v>
      </c>
    </row>
    <row r="59" spans="1:13">
      <c r="A59" s="7">
        <v>3403</v>
      </c>
      <c r="B59" s="8" t="s">
        <v>77</v>
      </c>
      <c r="C59" s="8" t="s">
        <v>17</v>
      </c>
      <c r="D59" s="9">
        <v>45520</v>
      </c>
      <c r="E59" s="8" t="s">
        <v>21</v>
      </c>
      <c r="F59" s="10">
        <v>15</v>
      </c>
      <c r="G59" s="8" t="s">
        <v>19</v>
      </c>
      <c r="H59" s="8" t="s">
        <v>18</v>
      </c>
      <c r="I59" s="10">
        <v>30</v>
      </c>
      <c r="J59" s="8" t="s">
        <v>18</v>
      </c>
      <c r="K59" s="10">
        <v>20</v>
      </c>
      <c r="L59" s="11">
        <v>3</v>
      </c>
      <c r="M59" s="12">
        <v>62</v>
      </c>
    </row>
    <row r="60" spans="1:13">
      <c r="A60" s="7">
        <v>3407</v>
      </c>
      <c r="B60" s="8" t="s">
        <v>78</v>
      </c>
      <c r="C60" s="8" t="s">
        <v>17</v>
      </c>
      <c r="D60" s="9">
        <v>45524</v>
      </c>
      <c r="E60" s="8" t="s">
        <v>21</v>
      </c>
      <c r="F60" s="10">
        <v>15</v>
      </c>
      <c r="G60" s="8" t="s">
        <v>23</v>
      </c>
      <c r="H60" s="8" t="s">
        <v>18</v>
      </c>
      <c r="I60" s="10">
        <v>30</v>
      </c>
      <c r="J60" s="8" t="s">
        <v>18</v>
      </c>
      <c r="K60" s="10">
        <v>20</v>
      </c>
      <c r="L60" s="11">
        <v>7</v>
      </c>
      <c r="M60" s="12">
        <v>58</v>
      </c>
    </row>
    <row r="61" spans="1:13">
      <c r="A61" s="7">
        <v>3410</v>
      </c>
      <c r="B61" s="8" t="s">
        <v>79</v>
      </c>
      <c r="C61" s="8" t="s">
        <v>17</v>
      </c>
      <c r="D61" s="9">
        <v>45527</v>
      </c>
      <c r="E61" s="8" t="s">
        <v>18</v>
      </c>
      <c r="F61" s="10">
        <v>15</v>
      </c>
      <c r="G61" s="8" t="s">
        <v>19</v>
      </c>
      <c r="H61" s="8" t="s">
        <v>18</v>
      </c>
      <c r="I61" s="10">
        <v>30</v>
      </c>
      <c r="J61" s="8" t="s">
        <v>18</v>
      </c>
      <c r="K61" s="10">
        <v>20</v>
      </c>
      <c r="L61" s="11">
        <v>15</v>
      </c>
      <c r="M61" s="12">
        <v>50</v>
      </c>
    </row>
    <row r="62" spans="1:13">
      <c r="A62" s="7">
        <v>3413</v>
      </c>
      <c r="B62" s="8" t="s">
        <v>80</v>
      </c>
      <c r="C62" s="8" t="s">
        <v>17</v>
      </c>
      <c r="D62" s="9">
        <v>45530</v>
      </c>
      <c r="E62" s="8" t="s">
        <v>21</v>
      </c>
      <c r="F62" s="10">
        <v>15</v>
      </c>
      <c r="G62" s="8" t="s">
        <v>23</v>
      </c>
      <c r="H62" s="8" t="s">
        <v>18</v>
      </c>
      <c r="I62" s="10">
        <v>30</v>
      </c>
      <c r="J62" s="8" t="s">
        <v>18</v>
      </c>
      <c r="K62" s="10">
        <v>20</v>
      </c>
      <c r="L62" s="11">
        <v>20</v>
      </c>
      <c r="M62" s="12">
        <v>45</v>
      </c>
    </row>
    <row r="63" spans="1:13">
      <c r="A63" s="7">
        <v>3416</v>
      </c>
      <c r="B63" s="8" t="s">
        <v>81</v>
      </c>
      <c r="C63" s="8" t="s">
        <v>17</v>
      </c>
      <c r="D63" s="9">
        <v>45533</v>
      </c>
      <c r="E63" s="8" t="s">
        <v>18</v>
      </c>
      <c r="F63" s="10">
        <v>15</v>
      </c>
      <c r="G63" s="8" t="s">
        <v>26</v>
      </c>
      <c r="H63" s="8" t="s">
        <v>18</v>
      </c>
      <c r="I63" s="10">
        <v>30</v>
      </c>
      <c r="J63" s="8" t="s">
        <v>18</v>
      </c>
      <c r="K63" s="10">
        <v>20</v>
      </c>
      <c r="L63" s="11">
        <v>5</v>
      </c>
      <c r="M63" s="12">
        <v>60</v>
      </c>
    </row>
    <row r="64" spans="1:13">
      <c r="A64" s="7">
        <v>3419</v>
      </c>
      <c r="B64" s="8" t="s">
        <v>82</v>
      </c>
      <c r="C64" s="8" t="s">
        <v>17</v>
      </c>
      <c r="D64" s="9">
        <v>45536</v>
      </c>
      <c r="E64" s="8" t="s">
        <v>21</v>
      </c>
      <c r="F64" s="10">
        <v>15</v>
      </c>
      <c r="G64" s="8" t="s">
        <v>19</v>
      </c>
      <c r="H64" s="8" t="s">
        <v>18</v>
      </c>
      <c r="I64" s="10">
        <v>30</v>
      </c>
      <c r="J64" s="8" t="s">
        <v>18</v>
      </c>
      <c r="K64" s="10">
        <v>20</v>
      </c>
      <c r="L64" s="11">
        <v>3</v>
      </c>
      <c r="M64" s="12">
        <v>62</v>
      </c>
    </row>
    <row r="65" spans="1:13">
      <c r="A65" s="7">
        <v>3422</v>
      </c>
      <c r="B65" s="8" t="s">
        <v>83</v>
      </c>
      <c r="C65" s="8" t="s">
        <v>17</v>
      </c>
      <c r="D65" s="9">
        <v>45539</v>
      </c>
      <c r="E65" s="8" t="s">
        <v>18</v>
      </c>
      <c r="F65" s="10">
        <v>15</v>
      </c>
      <c r="G65" s="8" t="s">
        <v>23</v>
      </c>
      <c r="H65" s="8" t="s">
        <v>18</v>
      </c>
      <c r="I65" s="10">
        <v>30</v>
      </c>
      <c r="J65" s="8" t="s">
        <v>18</v>
      </c>
      <c r="K65" s="10">
        <v>20</v>
      </c>
      <c r="L65" s="11">
        <v>7</v>
      </c>
      <c r="M65" s="12">
        <v>58</v>
      </c>
    </row>
    <row r="66" spans="1:13">
      <c r="A66" s="7">
        <v>3425</v>
      </c>
      <c r="B66" s="8" t="s">
        <v>84</v>
      </c>
      <c r="C66" s="8" t="s">
        <v>17</v>
      </c>
      <c r="D66" s="9">
        <v>45542</v>
      </c>
      <c r="E66" s="8" t="s">
        <v>21</v>
      </c>
      <c r="F66" s="10">
        <v>15</v>
      </c>
      <c r="G66" s="8" t="s">
        <v>19</v>
      </c>
      <c r="H66" s="8" t="s">
        <v>18</v>
      </c>
      <c r="I66" s="10">
        <v>30</v>
      </c>
      <c r="J66" s="8" t="s">
        <v>18</v>
      </c>
      <c r="K66" s="10">
        <v>20</v>
      </c>
      <c r="L66" s="11">
        <v>20</v>
      </c>
      <c r="M66" s="12">
        <v>45</v>
      </c>
    </row>
    <row r="67" spans="1:13">
      <c r="A67" s="7">
        <v>3428</v>
      </c>
      <c r="B67" s="8" t="s">
        <v>85</v>
      </c>
      <c r="C67" s="8" t="s">
        <v>17</v>
      </c>
      <c r="D67" s="9">
        <v>45545</v>
      </c>
      <c r="E67" s="8" t="s">
        <v>18</v>
      </c>
      <c r="F67" s="10">
        <v>15</v>
      </c>
      <c r="G67" s="8" t="s">
        <v>26</v>
      </c>
      <c r="H67" s="8" t="s">
        <v>18</v>
      </c>
      <c r="I67" s="10">
        <v>30</v>
      </c>
      <c r="J67" s="8" t="s">
        <v>18</v>
      </c>
      <c r="K67" s="10">
        <v>20</v>
      </c>
      <c r="L67" s="11">
        <v>3</v>
      </c>
      <c r="M67" s="12">
        <v>62</v>
      </c>
    </row>
    <row r="68" spans="1:13">
      <c r="A68" s="7">
        <v>3431</v>
      </c>
      <c r="B68" s="8" t="s">
        <v>86</v>
      </c>
      <c r="C68" s="8" t="s">
        <v>17</v>
      </c>
      <c r="D68" s="9">
        <v>45548</v>
      </c>
      <c r="E68" s="8" t="s">
        <v>21</v>
      </c>
      <c r="F68" s="10">
        <v>15</v>
      </c>
      <c r="G68" s="8" t="s">
        <v>19</v>
      </c>
      <c r="H68" s="8" t="s">
        <v>18</v>
      </c>
      <c r="I68" s="10">
        <v>30</v>
      </c>
      <c r="J68" s="8" t="s">
        <v>18</v>
      </c>
      <c r="K68" s="10">
        <v>20</v>
      </c>
      <c r="L68" s="11">
        <v>15</v>
      </c>
      <c r="M68" s="12">
        <v>50</v>
      </c>
    </row>
    <row r="69" spans="1:13">
      <c r="A69" s="7">
        <v>3434</v>
      </c>
      <c r="B69" s="8" t="s">
        <v>87</v>
      </c>
      <c r="C69" s="8" t="s">
        <v>17</v>
      </c>
      <c r="D69" s="9">
        <v>45551</v>
      </c>
      <c r="E69" s="8" t="s">
        <v>18</v>
      </c>
      <c r="F69" s="10">
        <v>15</v>
      </c>
      <c r="G69" s="8" t="s">
        <v>23</v>
      </c>
      <c r="H69" s="8" t="s">
        <v>18</v>
      </c>
      <c r="I69" s="10">
        <v>30</v>
      </c>
      <c r="J69" s="8" t="s">
        <v>18</v>
      </c>
      <c r="K69" s="10">
        <v>20</v>
      </c>
      <c r="L69" s="11">
        <v>7</v>
      </c>
      <c r="M69" s="12">
        <v>58</v>
      </c>
    </row>
    <row r="70" spans="1:13">
      <c r="A70" s="7">
        <v>3437</v>
      </c>
      <c r="B70" s="8" t="s">
        <v>88</v>
      </c>
      <c r="C70" s="8" t="s">
        <v>17</v>
      </c>
      <c r="D70" s="9">
        <v>45554</v>
      </c>
      <c r="E70" s="8" t="s">
        <v>21</v>
      </c>
      <c r="F70" s="10">
        <v>15</v>
      </c>
      <c r="G70" s="8" t="s">
        <v>23</v>
      </c>
      <c r="H70" s="8" t="s">
        <v>18</v>
      </c>
      <c r="I70" s="10">
        <v>30</v>
      </c>
      <c r="J70" s="8" t="s">
        <v>18</v>
      </c>
      <c r="K70" s="10">
        <v>20</v>
      </c>
      <c r="L70" s="11">
        <v>7</v>
      </c>
      <c r="M70" s="12">
        <v>58</v>
      </c>
    </row>
    <row r="71" spans="1:13">
      <c r="A71" s="7">
        <v>3440</v>
      </c>
      <c r="B71" s="8" t="s">
        <v>89</v>
      </c>
      <c r="C71" s="8" t="s">
        <v>17</v>
      </c>
      <c r="D71" s="9">
        <v>45557</v>
      </c>
      <c r="E71" s="8" t="s">
        <v>18</v>
      </c>
      <c r="F71" s="10">
        <v>15</v>
      </c>
      <c r="G71" s="8" t="s">
        <v>19</v>
      </c>
      <c r="H71" s="8" t="s">
        <v>18</v>
      </c>
      <c r="I71" s="10">
        <v>30</v>
      </c>
      <c r="J71" s="8" t="s">
        <v>18</v>
      </c>
      <c r="K71" s="10">
        <v>20</v>
      </c>
      <c r="L71" s="11">
        <v>15</v>
      </c>
      <c r="M71" s="12">
        <v>50</v>
      </c>
    </row>
    <row r="72" spans="1:13">
      <c r="A72" s="7">
        <v>3443</v>
      </c>
      <c r="B72" s="8" t="s">
        <v>90</v>
      </c>
      <c r="C72" s="8" t="s">
        <v>17</v>
      </c>
      <c r="D72" s="9">
        <v>45560</v>
      </c>
      <c r="E72" s="8" t="s">
        <v>21</v>
      </c>
      <c r="F72" s="10">
        <v>15</v>
      </c>
      <c r="G72" s="8" t="s">
        <v>23</v>
      </c>
      <c r="H72" s="8" t="s">
        <v>18</v>
      </c>
      <c r="I72" s="10">
        <v>30</v>
      </c>
      <c r="J72" s="8" t="s">
        <v>18</v>
      </c>
      <c r="K72" s="10">
        <v>20</v>
      </c>
      <c r="L72" s="11">
        <v>20</v>
      </c>
      <c r="M72" s="12">
        <v>45</v>
      </c>
    </row>
    <row r="73" spans="1:13">
      <c r="A73" s="7">
        <v>3446</v>
      </c>
      <c r="B73" s="8" t="s">
        <v>91</v>
      </c>
      <c r="C73" s="8" t="s">
        <v>17</v>
      </c>
      <c r="D73" s="9">
        <v>45563</v>
      </c>
      <c r="E73" s="8" t="s">
        <v>18</v>
      </c>
      <c r="F73" s="10">
        <v>15</v>
      </c>
      <c r="G73" s="8" t="s">
        <v>26</v>
      </c>
      <c r="H73" s="8" t="s">
        <v>18</v>
      </c>
      <c r="I73" s="10">
        <v>30</v>
      </c>
      <c r="J73" s="8" t="s">
        <v>18</v>
      </c>
      <c r="K73" s="10">
        <v>20</v>
      </c>
      <c r="L73" s="11">
        <v>5</v>
      </c>
      <c r="M73" s="12">
        <v>60</v>
      </c>
    </row>
    <row r="74" spans="1:13">
      <c r="A74" s="7">
        <v>3449</v>
      </c>
      <c r="B74" s="8" t="s">
        <v>92</v>
      </c>
      <c r="C74" s="8" t="s">
        <v>17</v>
      </c>
      <c r="D74" s="9">
        <v>45566</v>
      </c>
      <c r="E74" s="8" t="s">
        <v>21</v>
      </c>
      <c r="F74" s="10">
        <v>15</v>
      </c>
      <c r="G74" s="8" t="s">
        <v>19</v>
      </c>
      <c r="H74" s="8" t="s">
        <v>18</v>
      </c>
      <c r="I74" s="10">
        <v>30</v>
      </c>
      <c r="J74" s="8" t="s">
        <v>18</v>
      </c>
      <c r="K74" s="10">
        <v>20</v>
      </c>
      <c r="L74" s="11">
        <v>3</v>
      </c>
      <c r="M74" s="12">
        <v>62</v>
      </c>
    </row>
    <row r="75" spans="1:13">
      <c r="A75" s="7">
        <v>3452</v>
      </c>
      <c r="B75" s="8" t="s">
        <v>85</v>
      </c>
      <c r="C75" s="8" t="s">
        <v>17</v>
      </c>
      <c r="D75" s="9">
        <v>45569</v>
      </c>
      <c r="E75" s="8" t="s">
        <v>18</v>
      </c>
      <c r="F75" s="10">
        <v>15</v>
      </c>
      <c r="G75" s="8" t="s">
        <v>23</v>
      </c>
      <c r="H75" s="8" t="s">
        <v>18</v>
      </c>
      <c r="I75" s="10">
        <v>30</v>
      </c>
      <c r="J75" s="8" t="s">
        <v>18</v>
      </c>
      <c r="K75" s="10">
        <v>20</v>
      </c>
      <c r="L75" s="11">
        <v>7</v>
      </c>
      <c r="M75" s="12">
        <v>58</v>
      </c>
    </row>
    <row r="76" spans="1:13">
      <c r="A76" s="7">
        <v>3455</v>
      </c>
      <c r="B76" s="8" t="s">
        <v>93</v>
      </c>
      <c r="C76" s="8" t="s">
        <v>17</v>
      </c>
      <c r="D76" s="9">
        <v>45572</v>
      </c>
      <c r="E76" s="8" t="s">
        <v>21</v>
      </c>
      <c r="F76" s="10">
        <v>15</v>
      </c>
      <c r="G76" s="8" t="s">
        <v>19</v>
      </c>
      <c r="H76" s="8" t="s">
        <v>18</v>
      </c>
      <c r="I76" s="10">
        <v>30</v>
      </c>
      <c r="J76" s="8" t="s">
        <v>18</v>
      </c>
      <c r="K76" s="10">
        <v>20</v>
      </c>
      <c r="L76" s="11">
        <v>20</v>
      </c>
      <c r="M76" s="12">
        <v>45</v>
      </c>
    </row>
    <row r="77" spans="1:13">
      <c r="A77" s="7">
        <v>3458</v>
      </c>
      <c r="B77" s="8" t="s">
        <v>94</v>
      </c>
      <c r="C77" s="8" t="s">
        <v>17</v>
      </c>
      <c r="D77" s="9">
        <v>45575</v>
      </c>
      <c r="E77" s="8" t="s">
        <v>18</v>
      </c>
      <c r="F77" s="10">
        <v>15</v>
      </c>
      <c r="G77" s="8" t="s">
        <v>26</v>
      </c>
      <c r="H77" s="8" t="s">
        <v>18</v>
      </c>
      <c r="I77" s="10">
        <v>30</v>
      </c>
      <c r="J77" s="8" t="s">
        <v>18</v>
      </c>
      <c r="K77" s="10">
        <v>20</v>
      </c>
      <c r="L77" s="11">
        <v>3</v>
      </c>
      <c r="M77" s="12">
        <v>62</v>
      </c>
    </row>
    <row r="78" spans="1:13">
      <c r="A78" s="7">
        <v>3461</v>
      </c>
      <c r="B78" s="8" t="s">
        <v>95</v>
      </c>
      <c r="C78" s="8" t="s">
        <v>17</v>
      </c>
      <c r="D78" s="9">
        <v>45578</v>
      </c>
      <c r="E78" s="8" t="s">
        <v>21</v>
      </c>
      <c r="F78" s="10">
        <v>15</v>
      </c>
      <c r="G78" s="8" t="s">
        <v>19</v>
      </c>
      <c r="H78" s="8" t="s">
        <v>18</v>
      </c>
      <c r="I78" s="10">
        <v>30</v>
      </c>
      <c r="J78" s="8" t="s">
        <v>18</v>
      </c>
      <c r="K78" s="10">
        <v>20</v>
      </c>
      <c r="L78" s="11">
        <v>15</v>
      </c>
      <c r="M78" s="12">
        <v>50</v>
      </c>
    </row>
    <row r="79" spans="1:13">
      <c r="A79" s="7">
        <v>3464</v>
      </c>
      <c r="B79" s="8" t="s">
        <v>96</v>
      </c>
      <c r="C79" s="8" t="s">
        <v>17</v>
      </c>
      <c r="D79" s="9">
        <v>45581</v>
      </c>
      <c r="E79" s="8" t="s">
        <v>18</v>
      </c>
      <c r="F79" s="10">
        <v>15</v>
      </c>
      <c r="G79" s="8" t="s">
        <v>23</v>
      </c>
      <c r="H79" s="8" t="s">
        <v>18</v>
      </c>
      <c r="I79" s="10">
        <v>30</v>
      </c>
      <c r="J79" s="8" t="s">
        <v>18</v>
      </c>
      <c r="K79" s="10">
        <v>20</v>
      </c>
      <c r="L79" s="11">
        <v>7</v>
      </c>
      <c r="M79" s="12">
        <v>58</v>
      </c>
    </row>
    <row r="80" spans="1:13">
      <c r="A80" s="7">
        <v>3467</v>
      </c>
      <c r="B80" s="8" t="s">
        <v>97</v>
      </c>
      <c r="C80" s="8" t="s">
        <v>17</v>
      </c>
      <c r="D80" s="9">
        <v>45584</v>
      </c>
      <c r="E80" s="8" t="s">
        <v>21</v>
      </c>
      <c r="F80" s="10">
        <v>15</v>
      </c>
      <c r="G80" s="8" t="s">
        <v>19</v>
      </c>
      <c r="H80" s="8" t="s">
        <v>18</v>
      </c>
      <c r="I80" s="10">
        <v>30</v>
      </c>
      <c r="J80" s="8" t="s">
        <v>18</v>
      </c>
      <c r="K80" s="10">
        <v>20</v>
      </c>
      <c r="L80" s="11">
        <v>15</v>
      </c>
      <c r="M80" s="12">
        <v>50</v>
      </c>
    </row>
    <row r="81" spans="1:13">
      <c r="A81" s="7">
        <v>3470</v>
      </c>
      <c r="B81" s="8" t="s">
        <v>98</v>
      </c>
      <c r="C81" s="8" t="s">
        <v>17</v>
      </c>
      <c r="D81" s="9">
        <v>45587</v>
      </c>
      <c r="E81" s="8" t="s">
        <v>18</v>
      </c>
      <c r="F81" s="10">
        <v>15</v>
      </c>
      <c r="G81" s="8" t="s">
        <v>26</v>
      </c>
      <c r="H81" s="8" t="s">
        <v>18</v>
      </c>
      <c r="I81" s="10">
        <v>30</v>
      </c>
      <c r="J81" s="8" t="s">
        <v>18</v>
      </c>
      <c r="K81" s="10">
        <v>20</v>
      </c>
      <c r="L81" s="11">
        <v>5</v>
      </c>
      <c r="M81" s="12">
        <v>60</v>
      </c>
    </row>
    <row r="82" spans="1:13">
      <c r="A82" s="7">
        <v>3473</v>
      </c>
      <c r="B82" s="8" t="s">
        <v>99</v>
      </c>
      <c r="C82" s="8" t="s">
        <v>17</v>
      </c>
      <c r="D82" s="9">
        <v>45590</v>
      </c>
      <c r="E82" s="8" t="s">
        <v>21</v>
      </c>
      <c r="F82" s="10">
        <v>15</v>
      </c>
      <c r="G82" s="8" t="s">
        <v>19</v>
      </c>
      <c r="H82" s="8" t="s">
        <v>18</v>
      </c>
      <c r="I82" s="10">
        <v>30</v>
      </c>
      <c r="J82" s="8" t="s">
        <v>18</v>
      </c>
      <c r="K82" s="10">
        <v>20</v>
      </c>
      <c r="L82" s="11">
        <v>3</v>
      </c>
      <c r="M82" s="12">
        <v>62</v>
      </c>
    </row>
    <row r="83" spans="1:13">
      <c r="A83" s="7">
        <v>3476</v>
      </c>
      <c r="B83" s="8" t="s">
        <v>100</v>
      </c>
      <c r="C83" s="8" t="s">
        <v>17</v>
      </c>
      <c r="D83" s="9">
        <v>45593</v>
      </c>
      <c r="E83" s="8" t="s">
        <v>18</v>
      </c>
      <c r="F83" s="10">
        <v>15</v>
      </c>
      <c r="G83" s="8" t="s">
        <v>23</v>
      </c>
      <c r="H83" s="8" t="s">
        <v>18</v>
      </c>
      <c r="I83" s="10">
        <v>30</v>
      </c>
      <c r="J83" s="8" t="s">
        <v>18</v>
      </c>
      <c r="K83" s="10">
        <v>20</v>
      </c>
      <c r="L83" s="11">
        <v>7</v>
      </c>
      <c r="M83" s="12">
        <v>58</v>
      </c>
    </row>
    <row r="84" spans="1:13">
      <c r="A84" s="7">
        <v>3479</v>
      </c>
      <c r="B84" s="8" t="s">
        <v>101</v>
      </c>
      <c r="C84" s="8" t="s">
        <v>17</v>
      </c>
      <c r="D84" s="9">
        <v>45596</v>
      </c>
      <c r="E84" s="8" t="s">
        <v>21</v>
      </c>
      <c r="F84" s="10">
        <v>15</v>
      </c>
      <c r="G84" s="8" t="s">
        <v>19</v>
      </c>
      <c r="H84" s="8" t="s">
        <v>18</v>
      </c>
      <c r="I84" s="10">
        <v>30</v>
      </c>
      <c r="J84" s="8" t="s">
        <v>18</v>
      </c>
      <c r="K84" s="10">
        <v>20</v>
      </c>
      <c r="L84" s="11">
        <v>20</v>
      </c>
      <c r="M84" s="12">
        <v>45</v>
      </c>
    </row>
    <row r="85" spans="1:13">
      <c r="A85" s="7">
        <v>3482</v>
      </c>
      <c r="B85" s="8" t="s">
        <v>102</v>
      </c>
      <c r="C85" s="8" t="s">
        <v>17</v>
      </c>
      <c r="D85" s="9">
        <v>45599</v>
      </c>
      <c r="E85" s="8" t="s">
        <v>18</v>
      </c>
      <c r="F85" s="10">
        <v>15</v>
      </c>
      <c r="G85" s="8" t="s">
        <v>26</v>
      </c>
      <c r="H85" s="8" t="s">
        <v>18</v>
      </c>
      <c r="I85" s="10">
        <v>30</v>
      </c>
      <c r="J85" s="8" t="s">
        <v>18</v>
      </c>
      <c r="K85" s="10">
        <v>20</v>
      </c>
      <c r="L85" s="11">
        <v>3</v>
      </c>
      <c r="M85" s="12">
        <v>62</v>
      </c>
    </row>
    <row r="86" spans="1:13">
      <c r="A86" s="7">
        <v>3485</v>
      </c>
      <c r="B86" s="8" t="s">
        <v>103</v>
      </c>
      <c r="C86" s="8" t="s">
        <v>17</v>
      </c>
      <c r="D86" s="9">
        <v>45602</v>
      </c>
      <c r="E86" s="8" t="s">
        <v>21</v>
      </c>
      <c r="F86" s="10">
        <v>15</v>
      </c>
      <c r="G86" s="8" t="s">
        <v>19</v>
      </c>
      <c r="H86" s="8" t="s">
        <v>18</v>
      </c>
      <c r="I86" s="10">
        <v>30</v>
      </c>
      <c r="J86" s="8" t="s">
        <v>18</v>
      </c>
      <c r="K86" s="10">
        <v>20</v>
      </c>
      <c r="L86" s="11">
        <v>15</v>
      </c>
      <c r="M86" s="12">
        <v>50</v>
      </c>
    </row>
    <row r="87" spans="1:13">
      <c r="A87" s="7">
        <v>3487</v>
      </c>
      <c r="B87" s="8" t="s">
        <v>104</v>
      </c>
      <c r="C87" s="8" t="s">
        <v>17</v>
      </c>
      <c r="D87" s="9">
        <v>45604</v>
      </c>
      <c r="E87" s="8" t="s">
        <v>21</v>
      </c>
      <c r="F87" s="10">
        <v>15</v>
      </c>
      <c r="G87" s="8" t="s">
        <v>23</v>
      </c>
      <c r="H87" s="8" t="s">
        <v>18</v>
      </c>
      <c r="I87" s="10">
        <v>30</v>
      </c>
      <c r="J87" s="8" t="s">
        <v>18</v>
      </c>
      <c r="K87" s="10">
        <v>20</v>
      </c>
      <c r="L87" s="11">
        <v>7</v>
      </c>
      <c r="M87" s="12">
        <v>58</v>
      </c>
    </row>
    <row r="88" spans="1:13">
      <c r="A88" s="7">
        <v>3490</v>
      </c>
      <c r="B88" s="8" t="s">
        <v>105</v>
      </c>
      <c r="C88" s="8" t="s">
        <v>17</v>
      </c>
      <c r="D88" s="9">
        <v>45607</v>
      </c>
      <c r="E88" s="8" t="s">
        <v>18</v>
      </c>
      <c r="F88" s="10">
        <v>15</v>
      </c>
      <c r="G88" s="8" t="s">
        <v>19</v>
      </c>
      <c r="H88" s="8" t="s">
        <v>18</v>
      </c>
      <c r="I88" s="10">
        <v>30</v>
      </c>
      <c r="J88" s="8" t="s">
        <v>18</v>
      </c>
      <c r="K88" s="10">
        <v>20</v>
      </c>
      <c r="L88" s="11">
        <v>15</v>
      </c>
      <c r="M88" s="12">
        <v>50</v>
      </c>
    </row>
    <row r="89" spans="1:13">
      <c r="A89" s="7">
        <v>3493</v>
      </c>
      <c r="B89" s="8" t="s">
        <v>106</v>
      </c>
      <c r="C89" s="8" t="s">
        <v>17</v>
      </c>
      <c r="D89" s="9">
        <v>45610</v>
      </c>
      <c r="E89" s="8" t="s">
        <v>21</v>
      </c>
      <c r="F89" s="10">
        <v>15</v>
      </c>
      <c r="G89" s="8" t="s">
        <v>23</v>
      </c>
      <c r="H89" s="8" t="s">
        <v>18</v>
      </c>
      <c r="I89" s="10">
        <v>30</v>
      </c>
      <c r="J89" s="8" t="s">
        <v>18</v>
      </c>
      <c r="K89" s="10">
        <v>20</v>
      </c>
      <c r="L89" s="11">
        <v>20</v>
      </c>
      <c r="M89" s="12">
        <v>45</v>
      </c>
    </row>
    <row r="90" spans="1:13">
      <c r="A90" s="7">
        <v>3496</v>
      </c>
      <c r="B90" s="8" t="s">
        <v>107</v>
      </c>
      <c r="C90" s="8" t="s">
        <v>17</v>
      </c>
      <c r="D90" s="9">
        <v>45613</v>
      </c>
      <c r="E90" s="8" t="s">
        <v>18</v>
      </c>
      <c r="F90" s="10">
        <v>15</v>
      </c>
      <c r="G90" s="8" t="s">
        <v>26</v>
      </c>
      <c r="H90" s="8" t="s">
        <v>18</v>
      </c>
      <c r="I90" s="10">
        <v>30</v>
      </c>
      <c r="J90" s="8" t="s">
        <v>18</v>
      </c>
      <c r="K90" s="10">
        <v>20</v>
      </c>
      <c r="L90" s="11">
        <v>5</v>
      </c>
      <c r="M90" s="12">
        <v>60</v>
      </c>
    </row>
    <row r="91" spans="1:13">
      <c r="A91" s="7">
        <v>3499</v>
      </c>
      <c r="B91" s="8" t="s">
        <v>108</v>
      </c>
      <c r="C91" s="8" t="s">
        <v>17</v>
      </c>
      <c r="D91" s="9">
        <v>45616</v>
      </c>
      <c r="E91" s="8" t="s">
        <v>21</v>
      </c>
      <c r="F91" s="10">
        <v>15</v>
      </c>
      <c r="G91" s="8" t="s">
        <v>19</v>
      </c>
      <c r="H91" s="8" t="s">
        <v>18</v>
      </c>
      <c r="I91" s="10">
        <v>30</v>
      </c>
      <c r="J91" s="8" t="s">
        <v>18</v>
      </c>
      <c r="K91" s="10">
        <v>20</v>
      </c>
      <c r="L91" s="11">
        <v>3</v>
      </c>
      <c r="M91" s="12">
        <v>62</v>
      </c>
    </row>
    <row r="92" spans="1:13">
      <c r="A92" s="7">
        <v>3502</v>
      </c>
      <c r="B92" s="8" t="s">
        <v>109</v>
      </c>
      <c r="C92" s="8" t="s">
        <v>17</v>
      </c>
      <c r="D92" s="9">
        <v>45619</v>
      </c>
      <c r="E92" s="8" t="s">
        <v>18</v>
      </c>
      <c r="F92" s="10">
        <v>15</v>
      </c>
      <c r="G92" s="8" t="s">
        <v>23</v>
      </c>
      <c r="H92" s="8" t="s">
        <v>18</v>
      </c>
      <c r="I92" s="10">
        <v>30</v>
      </c>
      <c r="J92" s="8" t="s">
        <v>18</v>
      </c>
      <c r="K92" s="10">
        <v>20</v>
      </c>
      <c r="L92" s="11">
        <v>7</v>
      </c>
      <c r="M92" s="12">
        <v>58</v>
      </c>
    </row>
    <row r="93" spans="1:13">
      <c r="A93" s="7">
        <v>3505</v>
      </c>
      <c r="B93" s="8" t="s">
        <v>110</v>
      </c>
      <c r="C93" s="8" t="s">
        <v>17</v>
      </c>
      <c r="D93" s="9">
        <v>45622</v>
      </c>
      <c r="E93" s="8" t="s">
        <v>21</v>
      </c>
      <c r="F93" s="10">
        <v>15</v>
      </c>
      <c r="G93" s="8" t="s">
        <v>19</v>
      </c>
      <c r="H93" s="8" t="s">
        <v>18</v>
      </c>
      <c r="I93" s="10">
        <v>30</v>
      </c>
      <c r="J93" s="8" t="s">
        <v>18</v>
      </c>
      <c r="K93" s="10">
        <v>20</v>
      </c>
      <c r="L93" s="11">
        <v>20</v>
      </c>
      <c r="M93" s="12">
        <v>45</v>
      </c>
    </row>
    <row r="94" spans="1:13">
      <c r="A94" s="7">
        <v>3508</v>
      </c>
      <c r="B94" s="8" t="s">
        <v>111</v>
      </c>
      <c r="C94" s="8" t="s">
        <v>17</v>
      </c>
      <c r="D94" s="9">
        <v>45625</v>
      </c>
      <c r="E94" s="8" t="s">
        <v>18</v>
      </c>
      <c r="F94" s="10">
        <v>15</v>
      </c>
      <c r="G94" s="8" t="s">
        <v>26</v>
      </c>
      <c r="H94" s="8" t="s">
        <v>18</v>
      </c>
      <c r="I94" s="10">
        <v>30</v>
      </c>
      <c r="J94" s="8" t="s">
        <v>18</v>
      </c>
      <c r="K94" s="10">
        <v>20</v>
      </c>
      <c r="L94" s="11">
        <v>3</v>
      </c>
      <c r="M94" s="12">
        <v>62</v>
      </c>
    </row>
    <row r="95" spans="1:13">
      <c r="A95" s="7">
        <v>3511</v>
      </c>
      <c r="B95" s="8" t="s">
        <v>112</v>
      </c>
      <c r="C95" s="8" t="s">
        <v>17</v>
      </c>
      <c r="D95" s="9">
        <v>45628</v>
      </c>
      <c r="E95" s="8" t="s">
        <v>21</v>
      </c>
      <c r="F95" s="10">
        <v>15</v>
      </c>
      <c r="G95" s="8" t="s">
        <v>19</v>
      </c>
      <c r="H95" s="8" t="s">
        <v>18</v>
      </c>
      <c r="I95" s="10">
        <v>30</v>
      </c>
      <c r="J95" s="8" t="s">
        <v>18</v>
      </c>
      <c r="K95" s="10">
        <v>20</v>
      </c>
      <c r="L95" s="11">
        <v>15</v>
      </c>
      <c r="M95" s="12">
        <v>50</v>
      </c>
    </row>
    <row r="96" spans="1:13">
      <c r="A96" s="7">
        <v>3514</v>
      </c>
      <c r="B96" s="8" t="s">
        <v>113</v>
      </c>
      <c r="C96" s="8" t="s">
        <v>17</v>
      </c>
      <c r="D96" s="9">
        <v>45631</v>
      </c>
      <c r="E96" s="8" t="s">
        <v>18</v>
      </c>
      <c r="F96" s="10">
        <v>15</v>
      </c>
      <c r="G96" s="8" t="s">
        <v>23</v>
      </c>
      <c r="H96" s="8" t="s">
        <v>18</v>
      </c>
      <c r="I96" s="10">
        <v>30</v>
      </c>
      <c r="J96" s="8" t="s">
        <v>18</v>
      </c>
      <c r="K96" s="10">
        <v>20</v>
      </c>
      <c r="L96" s="11">
        <v>7</v>
      </c>
      <c r="M96" s="12">
        <v>58</v>
      </c>
    </row>
    <row r="97" spans="1:13">
      <c r="A97" s="7">
        <v>3517</v>
      </c>
      <c r="B97" s="8" t="s">
        <v>114</v>
      </c>
      <c r="C97" s="8" t="s">
        <v>17</v>
      </c>
      <c r="D97" s="9">
        <v>45634</v>
      </c>
      <c r="E97" s="8" t="s">
        <v>21</v>
      </c>
      <c r="F97" s="10">
        <v>15</v>
      </c>
      <c r="G97" s="8" t="s">
        <v>19</v>
      </c>
      <c r="H97" s="8" t="s">
        <v>18</v>
      </c>
      <c r="I97" s="10">
        <v>30</v>
      </c>
      <c r="J97" s="8" t="s">
        <v>18</v>
      </c>
      <c r="K97" s="10">
        <v>20</v>
      </c>
      <c r="L97" s="11">
        <v>20</v>
      </c>
      <c r="M97" s="12">
        <v>45</v>
      </c>
    </row>
    <row r="98" spans="1:13">
      <c r="A98" s="7">
        <v>3520</v>
      </c>
      <c r="B98" s="8" t="s">
        <v>115</v>
      </c>
      <c r="C98" s="8" t="s">
        <v>17</v>
      </c>
      <c r="D98" s="9">
        <v>45637</v>
      </c>
      <c r="E98" s="8" t="s">
        <v>18</v>
      </c>
      <c r="F98" s="10">
        <v>15</v>
      </c>
      <c r="G98" s="8" t="s">
        <v>26</v>
      </c>
      <c r="H98" s="8" t="s">
        <v>18</v>
      </c>
      <c r="I98" s="10">
        <v>30</v>
      </c>
      <c r="J98" s="8" t="s">
        <v>18</v>
      </c>
      <c r="K98" s="10">
        <v>20</v>
      </c>
      <c r="L98" s="11">
        <v>5</v>
      </c>
      <c r="M98" s="12">
        <v>60</v>
      </c>
    </row>
    <row r="99" spans="1:13">
      <c r="A99" s="13">
        <v>3523</v>
      </c>
      <c r="B99" s="14" t="s">
        <v>116</v>
      </c>
      <c r="C99" s="14" t="s">
        <v>17</v>
      </c>
      <c r="D99" s="15">
        <v>45640</v>
      </c>
      <c r="E99" s="14" t="s">
        <v>21</v>
      </c>
      <c r="F99" s="16">
        <v>15</v>
      </c>
      <c r="G99" s="14" t="s">
        <v>19</v>
      </c>
      <c r="H99" s="14" t="s">
        <v>18</v>
      </c>
      <c r="I99" s="16">
        <v>30</v>
      </c>
      <c r="J99" s="14" t="s">
        <v>18</v>
      </c>
      <c r="K99" s="16">
        <v>20</v>
      </c>
      <c r="L99" s="17">
        <v>3</v>
      </c>
      <c r="M99" s="18">
        <v>62</v>
      </c>
    </row>
  </sheetData>
  <autoFilter ref="A1:M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120D-A1E1-40A7-A37D-D20A730CDEFE}">
  <dimension ref="B1:F28"/>
  <sheetViews>
    <sheetView showGridLines="0" topLeftCell="A6" workbookViewId="0">
      <selection activeCell="E29" sqref="E29"/>
    </sheetView>
  </sheetViews>
  <sheetFormatPr defaultRowHeight="15"/>
  <cols>
    <col min="2" max="2" width="16.85546875" bestFit="1" customWidth="1"/>
    <col min="3" max="3" width="35" customWidth="1"/>
    <col min="4" max="4" width="19.7109375" bestFit="1" customWidth="1"/>
    <col min="5" max="5" width="11.7109375" customWidth="1"/>
  </cols>
  <sheetData>
    <row r="1" spans="2:6" ht="24.75" customHeight="1">
      <c r="B1" s="25" t="s">
        <v>117</v>
      </c>
      <c r="C1" s="26"/>
    </row>
    <row r="2" spans="2:6">
      <c r="B2" s="47" t="s">
        <v>118</v>
      </c>
      <c r="C2" s="47"/>
      <c r="D2" s="47"/>
      <c r="E2" s="47"/>
      <c r="F2" s="47"/>
    </row>
    <row r="3" spans="2:6">
      <c r="B3" s="46" t="s">
        <v>119</v>
      </c>
      <c r="C3" s="46"/>
      <c r="D3" s="46"/>
      <c r="E3" s="46"/>
      <c r="F3" s="46"/>
    </row>
    <row r="5" spans="2:6">
      <c r="B5" s="24" t="s">
        <v>9</v>
      </c>
      <c r="C5" s="24" t="s">
        <v>19</v>
      </c>
    </row>
    <row r="7" spans="2:6">
      <c r="B7" s="27" t="s">
        <v>7</v>
      </c>
      <c r="C7" s="27" t="s">
        <v>120</v>
      </c>
    </row>
    <row r="8" spans="2:6">
      <c r="B8" s="28" t="s">
        <v>21</v>
      </c>
      <c r="C8" s="29">
        <v>1836</v>
      </c>
    </row>
    <row r="9" spans="2:6">
      <c r="B9" s="28" t="s">
        <v>18</v>
      </c>
      <c r="C9" s="29">
        <v>585</v>
      </c>
    </row>
    <row r="10" spans="2:6">
      <c r="B10" s="30" t="s">
        <v>121</v>
      </c>
      <c r="C10" s="31">
        <v>2421</v>
      </c>
    </row>
    <row r="14" spans="2:6">
      <c r="B14" s="46" t="s">
        <v>122</v>
      </c>
      <c r="C14" s="46"/>
      <c r="D14" s="46"/>
      <c r="E14" s="46"/>
      <c r="F14" s="46"/>
    </row>
    <row r="16" spans="2:6">
      <c r="B16" s="24" t="s">
        <v>9</v>
      </c>
      <c r="C16" s="24" t="s">
        <v>19</v>
      </c>
      <c r="D16" s="50">
        <f>C20</f>
        <v>1350</v>
      </c>
    </row>
    <row r="18" spans="2:6">
      <c r="B18" s="23" t="s">
        <v>5</v>
      </c>
      <c r="C18" s="27" t="s">
        <v>123</v>
      </c>
    </row>
    <row r="19" spans="2:6">
      <c r="B19" t="s">
        <v>17</v>
      </c>
      <c r="C19" s="22">
        <v>1350</v>
      </c>
    </row>
    <row r="20" spans="2:6">
      <c r="B20" s="30" t="s">
        <v>121</v>
      </c>
      <c r="C20" s="31">
        <v>1350</v>
      </c>
    </row>
    <row r="22" spans="2:6">
      <c r="B22" s="46" t="s">
        <v>124</v>
      </c>
      <c r="C22" s="46"/>
      <c r="D22" s="46"/>
      <c r="E22" s="46"/>
      <c r="F22" s="46"/>
    </row>
    <row r="24" spans="2:6">
      <c r="B24" s="24" t="s">
        <v>9</v>
      </c>
      <c r="C24" s="24" t="s">
        <v>19</v>
      </c>
      <c r="D24" s="50">
        <f>C28</f>
        <v>900</v>
      </c>
    </row>
    <row r="26" spans="2:6">
      <c r="B26" s="23" t="s">
        <v>5</v>
      </c>
      <c r="C26" s="27" t="s">
        <v>125</v>
      </c>
    </row>
    <row r="27" spans="2:6">
      <c r="B27" t="s">
        <v>17</v>
      </c>
      <c r="C27" s="22">
        <v>900</v>
      </c>
    </row>
    <row r="28" spans="2:6">
      <c r="B28" s="30" t="s">
        <v>121</v>
      </c>
      <c r="C28" s="31">
        <v>900</v>
      </c>
    </row>
  </sheetData>
  <mergeCells count="4">
    <mergeCell ref="B3:F3"/>
    <mergeCell ref="B2:F2"/>
    <mergeCell ref="B14:F14"/>
    <mergeCell ref="B22:F22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68360-3CBB-4590-A1FE-477D4086D27E}">
  <dimension ref="A1:Z11"/>
  <sheetViews>
    <sheetView showGridLines="0" tabSelected="1" workbookViewId="0">
      <selection activeCell="G2" activeCellId="1" sqref="C2:E2 G2:H2"/>
    </sheetView>
  </sheetViews>
  <sheetFormatPr defaultRowHeight="15"/>
  <cols>
    <col min="1" max="1" width="30.7109375" style="42" customWidth="1"/>
    <col min="2" max="2" width="5.42578125" style="43" customWidth="1"/>
    <col min="3" max="3" width="10.85546875" style="43" customWidth="1"/>
    <col min="4" max="4" width="19.85546875" style="43" customWidth="1"/>
    <col min="5" max="5" width="10" style="43" customWidth="1"/>
    <col min="6" max="6" width="4.85546875" style="43" customWidth="1"/>
    <col min="7" max="7" width="10.42578125" style="43" customWidth="1"/>
    <col min="8" max="8" width="21.7109375" style="43" customWidth="1"/>
    <col min="9" max="9" width="9.5703125" style="43" customWidth="1"/>
    <col min="10" max="12" width="9.140625" style="43"/>
    <col min="13" max="13" width="15.7109375" style="43" customWidth="1"/>
    <col min="14" max="14" width="22" style="43" customWidth="1"/>
    <col min="15" max="24" width="9.140625" style="43"/>
    <col min="25" max="25" width="16.85546875" style="43" bestFit="1" customWidth="1"/>
    <col min="26" max="26" width="19.28515625" style="43" bestFit="1" customWidth="1"/>
    <col min="27" max="16384" width="9.140625" style="43"/>
  </cols>
  <sheetData>
    <row r="1" spans="1:26" s="30" customFormat="1" ht="42" customHeight="1">
      <c r="A1" s="61"/>
      <c r="C1" s="48" t="s">
        <v>126</v>
      </c>
      <c r="D1" s="48"/>
      <c r="E1" s="48"/>
      <c r="F1" s="48"/>
      <c r="G1" s="48"/>
      <c r="H1" s="48"/>
    </row>
    <row r="2" spans="1:26" s="30" customFormat="1">
      <c r="A2" s="62"/>
      <c r="C2" s="66" t="s">
        <v>127</v>
      </c>
      <c r="D2" s="66"/>
      <c r="E2" s="66"/>
      <c r="G2" s="67" t="s">
        <v>128</v>
      </c>
      <c r="H2" s="67"/>
    </row>
    <row r="3" spans="1:26">
      <c r="A3" s="62"/>
      <c r="C3" s="65"/>
      <c r="D3" s="65"/>
    </row>
    <row r="4" spans="1:26" ht="27" customHeight="1">
      <c r="A4" s="62"/>
      <c r="C4" s="52"/>
      <c r="D4" s="53" t="s">
        <v>129</v>
      </c>
      <c r="E4" s="54"/>
      <c r="G4" s="52"/>
      <c r="H4" s="53" t="s">
        <v>129</v>
      </c>
      <c r="I4" s="54"/>
    </row>
    <row r="5" spans="1:26" ht="33.75" customHeight="1">
      <c r="A5" s="63" t="s">
        <v>130</v>
      </c>
      <c r="C5" s="55"/>
      <c r="D5" s="56"/>
      <c r="E5" s="57"/>
      <c r="F5" s="49"/>
      <c r="G5" s="55"/>
      <c r="H5" s="56"/>
      <c r="I5" s="57"/>
    </row>
    <row r="6" spans="1:26" ht="20.25" customHeight="1">
      <c r="A6" s="41"/>
      <c r="C6" s="55"/>
      <c r="D6" s="51">
        <f>Cálculo!D16</f>
        <v>1350</v>
      </c>
      <c r="E6" s="57"/>
      <c r="G6" s="55"/>
      <c r="H6" s="51">
        <f>Cálculo!D24</f>
        <v>900</v>
      </c>
      <c r="I6" s="57"/>
      <c r="Y6" s="44" t="s">
        <v>9</v>
      </c>
      <c r="Z6" s="44" t="s">
        <v>19</v>
      </c>
    </row>
    <row r="7" spans="1:26">
      <c r="C7" s="58"/>
      <c r="D7" s="59"/>
      <c r="E7" s="60"/>
      <c r="G7" s="58"/>
      <c r="H7" s="59"/>
      <c r="I7" s="60"/>
      <c r="Y7" s="44"/>
      <c r="Z7" s="44"/>
    </row>
    <row r="8" spans="1:26">
      <c r="Y8" s="44" t="s">
        <v>7</v>
      </c>
      <c r="Z8" s="44" t="s">
        <v>120</v>
      </c>
    </row>
    <row r="9" spans="1:26">
      <c r="Y9" s="44" t="s">
        <v>21</v>
      </c>
      <c r="Z9" s="45">
        <v>1836</v>
      </c>
    </row>
    <row r="10" spans="1:26" ht="18" customHeight="1">
      <c r="C10" s="64" t="s">
        <v>8</v>
      </c>
      <c r="D10" s="64"/>
      <c r="E10" s="64"/>
      <c r="F10" s="64"/>
      <c r="G10" s="64"/>
      <c r="H10" s="64"/>
      <c r="I10" s="64"/>
      <c r="Y10" s="44" t="s">
        <v>18</v>
      </c>
      <c r="Z10" s="45">
        <v>585</v>
      </c>
    </row>
    <row r="11" spans="1:26">
      <c r="Y11" s="44" t="s">
        <v>121</v>
      </c>
      <c r="Z11" s="45">
        <v>2421</v>
      </c>
    </row>
  </sheetData>
  <mergeCells count="5">
    <mergeCell ref="C1:H1"/>
    <mergeCell ref="C10:I10"/>
    <mergeCell ref="C3:D3"/>
    <mergeCell ref="C2:E2"/>
    <mergeCell ref="G2:H2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2026-10-02T12:24:27Z</dcterms:created>
  <dcterms:modified xsi:type="dcterms:W3CDTF">2026-10-03T00:36:21Z</dcterms:modified>
  <cp:category/>
  <cp:contentStatus/>
</cp:coreProperties>
</file>