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878E17E1-5534-444C-B377-70EE20F8B0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1" l="1"/>
  <c r="C23" i="1"/>
  <c r="D23" i="1" s="1"/>
  <c r="C22" i="1"/>
  <c r="D22" i="1" s="1"/>
  <c r="C21" i="1"/>
  <c r="D21" i="1" s="1"/>
  <c r="C20" i="1"/>
  <c r="D20" i="1" s="1"/>
  <c r="C19" i="1"/>
  <c r="D19" i="1" s="1"/>
  <c r="D15" i="1"/>
  <c r="D16" i="1" s="1"/>
</calcChain>
</file>

<file path=xl/sharedStrings.xml><?xml version="1.0" encoding="utf-8"?>
<sst xmlns="http://schemas.openxmlformats.org/spreadsheetml/2006/main" count="17" uniqueCount="17">
  <si>
    <t>Investimento mensal</t>
  </si>
  <si>
    <t>Quanto investir por mês?</t>
  </si>
  <si>
    <t>Por quantos anos?</t>
  </si>
  <si>
    <t>Taxa de Rendimento Mensal?</t>
  </si>
  <si>
    <t>Patrimonio Acumulado?</t>
  </si>
  <si>
    <t>Dividendos Mensal?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</si>
  <si>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</si>
  <si>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</si>
  <si>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</si>
  <si>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</si>
  <si>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</si>
  <si>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</si>
  <si>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</si>
  <si>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Configurações</t>
  </si>
  <si>
    <t>Salário</t>
  </si>
  <si>
    <t>Redimento carteira</t>
  </si>
  <si>
    <t>Sugestão de 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</si>
</sst>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entury"/>
    </font>
    <font>
      <sz val="11"/>
      <color theme="0"/>
      <name val="Calibri"/>
      <family val="2"/>
      <scheme val="minor"/>
    </font>
    <font>
      <b/>
      <sz val="12"/>
      <color rgb="FF000000"/>
      <name val="Century"/>
    </font>
    <font>
      <sz val="12"/>
      <color rgb="FF000000"/>
      <name val="Calibri"/>
      <family val="2"/>
      <scheme val="minor"/>
    </font>
    <font>
      <sz val="16"/>
      <color theme="1"/>
      <name val="Century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A1FF4F"/>
        <bgColor indexed="64"/>
      </patternFill>
    </fill>
    <fill>
      <patternFill patternType="solid">
        <fgColor rgb="FF7AFFA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000000"/>
      </right>
      <top/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theme="2" tint="-9.9978637043366805E-2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theme="2" tint="-9.9978637043366805E-2"/>
      </right>
      <top style="medium">
        <color rgb="FF000000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rgb="FF000000"/>
      </top>
      <bottom/>
      <diagonal/>
    </border>
    <border>
      <left style="thin">
        <color theme="2" tint="-9.9978637043366805E-2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3" fillId="0" borderId="0" xfId="0" applyFont="1"/>
    <xf numFmtId="0" fontId="5" fillId="0" borderId="0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8" fontId="0" fillId="2" borderId="8" xfId="0" applyNumberFormat="1" applyFill="1" applyBorder="1" applyAlignment="1">
      <alignment horizontal="center" vertical="center"/>
    </xf>
    <xf numFmtId="164" fontId="0" fillId="2" borderId="9" xfId="0" applyNumberFormat="1" applyFill="1" applyBorder="1"/>
    <xf numFmtId="8" fontId="0" fillId="2" borderId="1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/>
    </xf>
    <xf numFmtId="8" fontId="0" fillId="2" borderId="13" xfId="0" applyNumberFormat="1" applyFill="1" applyBorder="1" applyAlignment="1">
      <alignment horizontal="center" vertical="center"/>
    </xf>
    <xf numFmtId="164" fontId="0" fillId="2" borderId="15" xfId="0" applyNumberFormat="1" applyFill="1" applyBorder="1"/>
    <xf numFmtId="0" fontId="0" fillId="0" borderId="0" xfId="0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3" borderId="18" xfId="0" applyFill="1" applyBorder="1"/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/>
    </xf>
    <xf numFmtId="16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2" borderId="3" xfId="0" applyFill="1" applyBorder="1" applyAlignment="1">
      <alignment horizontal="left"/>
    </xf>
    <xf numFmtId="8" fontId="0" fillId="2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8" fontId="0" fillId="2" borderId="6" xfId="0" applyNumberForma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3" xfId="0" applyFill="1" applyBorder="1" applyAlignment="1">
      <alignment horizontal="left"/>
    </xf>
    <xf numFmtId="164" fontId="0" fillId="0" borderId="4" xfId="0" applyNumberFormat="1" applyFill="1" applyBorder="1" applyAlignment="1">
      <alignment horizontal="center"/>
    </xf>
    <xf numFmtId="9" fontId="0" fillId="2" borderId="4" xfId="0" applyNumberFormat="1" applyFill="1" applyBorder="1" applyAlignment="1">
      <alignment horizontal="center"/>
    </xf>
    <xf numFmtId="0" fontId="0" fillId="0" borderId="5" xfId="0" applyFill="1" applyBorder="1" applyAlignment="1">
      <alignment horizontal="left"/>
    </xf>
    <xf numFmtId="0" fontId="0" fillId="0" borderId="19" xfId="0" applyBorder="1" applyAlignment="1">
      <alignment horizontal="left"/>
    </xf>
    <xf numFmtId="164" fontId="0" fillId="0" borderId="6" xfId="0" applyNumberFormat="1" applyFill="1" applyBorder="1" applyAlignment="1">
      <alignment horizontal="center"/>
    </xf>
    <xf numFmtId="0" fontId="2" fillId="3" borderId="16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1FF4F"/>
      <color rgb="FF77FF00"/>
      <color rgb="FF7AFFA0"/>
      <color rgb="FF00FF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3</xdr:col>
      <xdr:colOff>1114425</xdr:colOff>
      <xdr:row>9</xdr:row>
      <xdr:rowOff>76200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D256249-6AA2-4B0E-ECE2-D5D740F949C0}"/>
            </a:ext>
            <a:ext uri="{147F2762-F138-4A5C-976F-8EAC2B608ADB}">
              <a16:predDERef xmlns:a16="http://schemas.microsoft.com/office/drawing/2014/main" pred="{D32C8183-904D-E4B7-2AD1-C1C6C82C0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5049" b="15333"/>
        <a:stretch>
          <a:fillRect/>
        </a:stretch>
      </xdr:blipFill>
      <xdr:spPr>
        <a:xfrm>
          <a:off x="628650" y="0"/>
          <a:ext cx="4562475" cy="1790700"/>
        </a:xfrm>
        <a:prstGeom prst="rect">
          <a:avLst/>
        </a:prstGeom>
      </xdr:spPr>
    </xdr:pic>
    <xdr:clientData/>
  </xdr:twoCellAnchor>
  <xdr:twoCellAnchor>
    <xdr:from>
      <xdr:col>1</xdr:col>
      <xdr:colOff>209550</xdr:colOff>
      <xdr:row>0</xdr:row>
      <xdr:rowOff>171450</xdr:rowOff>
    </xdr:from>
    <xdr:to>
      <xdr:col>1</xdr:col>
      <xdr:colOff>1514475</xdr:colOff>
      <xdr:row>2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2C8183-904D-E4B7-2AD1-C1C6C82C0737}"/>
            </a:ext>
            <a:ext uri="{147F2762-F138-4A5C-976F-8EAC2B608ADB}">
              <a16:predDERef xmlns:a16="http://schemas.microsoft.com/office/drawing/2014/main" pred="{4D256249-6AA2-4B0E-ECE2-D5D740F949C0}"/>
            </a:ext>
          </a:extLst>
        </xdr:cNvPr>
        <xdr:cNvSpPr txBox="1"/>
      </xdr:nvSpPr>
      <xdr:spPr>
        <a:xfrm>
          <a:off x="819150" y="171450"/>
          <a:ext cx="1304925" cy="381000"/>
        </a:xfrm>
        <a:prstGeom prst="rect">
          <a:avLst/>
        </a:prstGeom>
        <a:noFill/>
        <a:ln>
          <a:solidFill>
            <a:srgbClr val="77FF00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600" b="0" i="1">
              <a:solidFill>
                <a:srgbClr val="77FF00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Invest Agro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F28"/>
  <sheetViews>
    <sheetView tabSelected="1" workbookViewId="0">
      <selection activeCell="E8" sqref="E8"/>
    </sheetView>
  </sheetViews>
  <sheetFormatPr defaultRowHeight="15"/>
  <cols>
    <col min="2" max="2" width="29.42578125" style="2" customWidth="1"/>
    <col min="3" max="3" width="22.5703125" style="1" customWidth="1"/>
    <col min="4" max="4" width="17.5703125" customWidth="1"/>
    <col min="5" max="5" width="23.85546875" style="2" bestFit="1" customWidth="1"/>
    <col min="6" max="6" width="11.42578125" style="1" bestFit="1" customWidth="1"/>
  </cols>
  <sheetData>
    <row r="10" spans="2:4" ht="15" customHeight="1"/>
    <row r="11" spans="2:4" ht="28.5" customHeight="1">
      <c r="B11" s="37" t="s">
        <v>0</v>
      </c>
      <c r="C11" s="38"/>
      <c r="D11" s="18"/>
    </row>
    <row r="12" spans="2:4">
      <c r="B12" s="19" t="s">
        <v>1</v>
      </c>
      <c r="C12" s="20"/>
      <c r="D12" s="21">
        <v>500</v>
      </c>
    </row>
    <row r="13" spans="2:4">
      <c r="B13" s="3" t="s">
        <v>2</v>
      </c>
      <c r="C13" s="14"/>
      <c r="D13" s="22">
        <v>5</v>
      </c>
    </row>
    <row r="14" spans="2:4">
      <c r="B14" s="3" t="s">
        <v>3</v>
      </c>
      <c r="C14" s="14"/>
      <c r="D14" s="23">
        <v>1.0800000000000001E-2</v>
      </c>
    </row>
    <row r="15" spans="2:4">
      <c r="B15" s="24" t="s">
        <v>4</v>
      </c>
      <c r="C15" s="17"/>
      <c r="D15" s="25">
        <f>FV(D14,D13*12,D12*-1%)</f>
        <v>419.02009679629214</v>
      </c>
    </row>
    <row r="16" spans="2:4">
      <c r="B16" s="26" t="s">
        <v>5</v>
      </c>
      <c r="C16" s="27"/>
      <c r="D16" s="28">
        <f>D15*D14</f>
        <v>4.5254170453999549</v>
      </c>
    </row>
    <row r="18" spans="1:5" ht="20.25">
      <c r="B18" s="39" t="s">
        <v>6</v>
      </c>
      <c r="C18" s="40"/>
      <c r="D18" s="15" t="s">
        <v>7</v>
      </c>
      <c r="E18" s="5"/>
    </row>
    <row r="19" spans="1:5">
      <c r="A19" s="4">
        <v>2</v>
      </c>
      <c r="B19" s="7" t="s">
        <v>8</v>
      </c>
      <c r="C19" s="8">
        <f>FV(D14,A19*12,D12*-1)</f>
        <v>13615.431830290796</v>
      </c>
      <c r="D19" s="9">
        <f>C19*D27</f>
        <v>136.15431830290797</v>
      </c>
    </row>
    <row r="20" spans="1:5">
      <c r="A20" s="4">
        <v>5</v>
      </c>
      <c r="B20" s="6" t="s">
        <v>9</v>
      </c>
      <c r="C20" s="10">
        <f>FV(D14,A20*12,D12*-1)</f>
        <v>41902.00967962922</v>
      </c>
      <c r="D20" s="9">
        <f>C20*D27</f>
        <v>419.02009679629219</v>
      </c>
    </row>
    <row r="21" spans="1:5">
      <c r="A21" s="4">
        <v>10</v>
      </c>
      <c r="B21" s="6" t="s">
        <v>10</v>
      </c>
      <c r="C21" s="10">
        <f>FV(D14,A21*12,D12*-1)</f>
        <v>121728.83312740005</v>
      </c>
      <c r="D21" s="9">
        <f>C21*D27</f>
        <v>1217.2883312740005</v>
      </c>
    </row>
    <row r="22" spans="1:5">
      <c r="A22" s="4">
        <v>20</v>
      </c>
      <c r="B22" s="6" t="s">
        <v>11</v>
      </c>
      <c r="C22" s="10">
        <f>FV(D14,A22*12,D12*-1)</f>
        <v>563524.49664926168</v>
      </c>
      <c r="D22" s="9">
        <f>C22*D27</f>
        <v>5635.2449664926171</v>
      </c>
    </row>
    <row r="23" spans="1:5">
      <c r="A23" s="4">
        <v>30</v>
      </c>
      <c r="B23" s="11" t="s">
        <v>12</v>
      </c>
      <c r="C23" s="12">
        <f>FV(D14,A23*12,D12*-1)</f>
        <v>2166952.4051583759</v>
      </c>
      <c r="D23" s="13">
        <f>C23*D27</f>
        <v>21669.524051583758</v>
      </c>
    </row>
    <row r="25" spans="1:5" ht="20.25">
      <c r="B25" s="29" t="s">
        <v>13</v>
      </c>
      <c r="C25" s="30"/>
      <c r="D25" s="16"/>
    </row>
    <row r="26" spans="1:5">
      <c r="B26" s="31" t="s">
        <v>14</v>
      </c>
      <c r="C26" s="14"/>
      <c r="D26" s="32">
        <v>5000</v>
      </c>
    </row>
    <row r="27" spans="1:5">
      <c r="B27" s="24" t="s">
        <v>15</v>
      </c>
      <c r="C27" s="17"/>
      <c r="D27" s="33">
        <v>0.01</v>
      </c>
    </row>
    <row r="28" spans="1:5">
      <c r="B28" s="34" t="s">
        <v>16</v>
      </c>
      <c r="C28" s="35"/>
      <c r="D28" s="36">
        <f>D26*30%</f>
        <v>1500</v>
      </c>
    </row>
  </sheetData>
  <mergeCells count="2">
    <mergeCell ref="B11:C11"/>
    <mergeCell ref="B18:C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2026-09-24T13:12:07Z</dcterms:created>
  <dcterms:modified xsi:type="dcterms:W3CDTF">2026-10-03T00:58:46Z</dcterms:modified>
  <cp:category/>
  <cp:contentStatus/>
</cp:coreProperties>
</file>